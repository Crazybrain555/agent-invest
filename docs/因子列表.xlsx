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60" windowWidth="22260" windowHeight="12585" tabRatio="741" firstSheet="1" activeTab="1"/>
  </bookViews>
  <sheets>
    <sheet name="因子定义_旧" sheetId="1" r:id="rId1"/>
    <sheet name="因子梳理" sheetId="5" r:id="rId2"/>
    <sheet name="分析师_zz800" sheetId="3" r:id="rId3"/>
    <sheet name="成长_broad" sheetId="7" r:id="rId4"/>
    <sheet name="成长_zz800" sheetId="16" r:id="rId5"/>
    <sheet name="价值因子_broad" sheetId="11" r:id="rId6"/>
    <sheet name="价值_zz800" sheetId="12" r:id="rId7"/>
    <sheet name="反转因子_broad" sheetId="8" r:id="rId8"/>
    <sheet name="反转因子_zz800" sheetId="9" r:id="rId9"/>
    <sheet name="质量因子_broad" sheetId="13" r:id="rId10"/>
    <sheet name="质量因子_zz800" sheetId="14" r:id="rId11"/>
    <sheet name="因子初步筛选汇总" sheetId="10" r:id="rId12"/>
  </sheets>
  <definedNames>
    <definedName name="_xlnm._FilterDatabase" localSheetId="7" hidden="1">反转因子_broad!$A$1:$V$130</definedName>
    <definedName name="_xlnm._FilterDatabase" localSheetId="8" hidden="1">反转因子_zz800!$A$1:$V$130</definedName>
    <definedName name="_xlnm._FilterDatabase" localSheetId="2" hidden="1">分析师_zz800!$A$1:$W$37</definedName>
    <definedName name="_xlnm._FilterDatabase" localSheetId="0" hidden="1">因子定义_旧!$A$1:$L$372</definedName>
    <definedName name="_xlnm._FilterDatabase" localSheetId="1" hidden="1">因子梳理!$A$1:$P$392</definedName>
  </definedNames>
  <calcPr calcId="162913"/>
  <pivotCaches>
    <pivotCache cacheId="24" r:id="rId13"/>
    <pivotCache cacheId="25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1" i="5" l="1"/>
  <c r="H121" i="5"/>
  <c r="I120" i="5"/>
  <c r="H120" i="5"/>
  <c r="I122" i="5"/>
  <c r="H122" i="5"/>
  <c r="I384" i="5" l="1"/>
  <c r="H384" i="5"/>
  <c r="H362" i="5" l="1"/>
  <c r="I362" i="5"/>
  <c r="I327" i="5" l="1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3" i="5"/>
  <c r="I364" i="5"/>
  <c r="I365" i="5"/>
  <c r="I366" i="5"/>
  <c r="I367" i="5"/>
  <c r="I368" i="5"/>
  <c r="I369" i="5"/>
  <c r="I370" i="5"/>
  <c r="I371" i="5"/>
  <c r="I374" i="5"/>
  <c r="I375" i="5"/>
  <c r="I372" i="5"/>
  <c r="I376" i="5"/>
  <c r="I377" i="5"/>
  <c r="I373" i="5"/>
  <c r="I378" i="5"/>
  <c r="I379" i="5"/>
  <c r="I380" i="5"/>
  <c r="I381" i="5"/>
  <c r="I382" i="5"/>
  <c r="I383" i="5"/>
  <c r="I385" i="5"/>
  <c r="I386" i="5"/>
  <c r="I387" i="5"/>
  <c r="I388" i="5"/>
  <c r="I389" i="5"/>
  <c r="I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3" i="5"/>
  <c r="H364" i="5"/>
  <c r="H365" i="5"/>
  <c r="H366" i="5"/>
  <c r="H367" i="5"/>
  <c r="H368" i="5"/>
  <c r="H369" i="5"/>
  <c r="H370" i="5"/>
  <c r="H371" i="5"/>
  <c r="H374" i="5"/>
  <c r="H375" i="5"/>
  <c r="H372" i="5"/>
  <c r="H376" i="5"/>
  <c r="H377" i="5"/>
  <c r="H373" i="5"/>
  <c r="H378" i="5"/>
  <c r="H379" i="5"/>
  <c r="H380" i="5"/>
  <c r="H381" i="5"/>
  <c r="H382" i="5"/>
  <c r="H383" i="5"/>
  <c r="H385" i="5"/>
  <c r="H386" i="5"/>
  <c r="H387" i="5"/>
  <c r="H388" i="5"/>
  <c r="H389" i="5"/>
  <c r="H326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23" i="5"/>
  <c r="H124" i="5" l="1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23" i="5"/>
  <c r="H306" i="5" l="1"/>
  <c r="I306" i="5"/>
  <c r="H301" i="5"/>
  <c r="H302" i="5"/>
  <c r="H298" i="5"/>
  <c r="H300" i="5"/>
  <c r="H240" i="5"/>
  <c r="H243" i="5"/>
  <c r="H234" i="5"/>
  <c r="H235" i="5"/>
  <c r="H236" i="5"/>
  <c r="H241" i="5"/>
  <c r="H233" i="5"/>
  <c r="H237" i="5"/>
  <c r="H303" i="5"/>
  <c r="H304" i="5"/>
  <c r="H305" i="5"/>
  <c r="H253" i="5"/>
  <c r="H250" i="5"/>
  <c r="H249" i="5"/>
  <c r="H251" i="5"/>
  <c r="H238" i="5"/>
  <c r="H244" i="5"/>
  <c r="H242" i="5"/>
  <c r="H239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307" i="5"/>
  <c r="H308" i="5"/>
  <c r="H309" i="5"/>
  <c r="H254" i="5"/>
  <c r="H310" i="5"/>
  <c r="H311" i="5"/>
  <c r="H312" i="5"/>
  <c r="H313" i="5"/>
  <c r="H256" i="5"/>
  <c r="H257" i="5"/>
  <c r="H232" i="5"/>
  <c r="H230" i="5"/>
  <c r="H231" i="5"/>
  <c r="H277" i="5"/>
  <c r="H281" i="5"/>
  <c r="H278" i="5"/>
  <c r="H297" i="5"/>
  <c r="H279" i="5"/>
  <c r="H284" i="5"/>
  <c r="H282" i="5"/>
  <c r="H247" i="5"/>
  <c r="H246" i="5"/>
  <c r="H248" i="5"/>
  <c r="H252" i="5"/>
  <c r="H255" i="5"/>
  <c r="H245" i="5"/>
  <c r="H296" i="5"/>
  <c r="H280" i="5"/>
  <c r="H291" i="5"/>
  <c r="H294" i="5"/>
  <c r="H260" i="5"/>
  <c r="H258" i="5"/>
  <c r="H259" i="5"/>
  <c r="H287" i="5"/>
  <c r="H295" i="5"/>
  <c r="H286" i="5"/>
  <c r="H285" i="5"/>
  <c r="H292" i="5"/>
  <c r="H288" i="5"/>
  <c r="H289" i="5"/>
  <c r="H261" i="5"/>
  <c r="H262" i="5"/>
  <c r="H263" i="5"/>
  <c r="H264" i="5"/>
  <c r="H265" i="5"/>
  <c r="H266" i="5"/>
  <c r="H267" i="5"/>
  <c r="H268" i="5"/>
  <c r="H269" i="5"/>
  <c r="H270" i="5"/>
  <c r="H283" i="5"/>
  <c r="H290" i="5"/>
  <c r="H293" i="5"/>
  <c r="H273" i="5"/>
  <c r="H274" i="5"/>
  <c r="H275" i="5"/>
  <c r="H276" i="5"/>
  <c r="H315" i="5"/>
  <c r="H317" i="5"/>
  <c r="H318" i="5"/>
  <c r="H314" i="5"/>
  <c r="H316" i="5"/>
  <c r="H319" i="5"/>
  <c r="H320" i="5"/>
  <c r="H321" i="5"/>
  <c r="H322" i="5"/>
  <c r="H323" i="5"/>
  <c r="H324" i="5"/>
  <c r="H325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72" i="5"/>
  <c r="H271" i="5"/>
  <c r="I301" i="5" l="1"/>
  <c r="I302" i="5"/>
  <c r="I298" i="5"/>
  <c r="I300" i="5"/>
  <c r="I240" i="5"/>
  <c r="I243" i="5"/>
  <c r="I234" i="5"/>
  <c r="I235" i="5"/>
  <c r="I236" i="5"/>
  <c r="I241" i="5"/>
  <c r="I233" i="5"/>
  <c r="I237" i="5"/>
  <c r="I303" i="5"/>
  <c r="I304" i="5"/>
  <c r="I305" i="5"/>
  <c r="I253" i="5"/>
  <c r="I250" i="5"/>
  <c r="I249" i="5"/>
  <c r="I251" i="5"/>
  <c r="I238" i="5"/>
  <c r="I244" i="5"/>
  <c r="I242" i="5"/>
  <c r="I239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307" i="5"/>
  <c r="I308" i="5"/>
  <c r="I309" i="5"/>
  <c r="I254" i="5"/>
  <c r="I310" i="5"/>
  <c r="I311" i="5"/>
  <c r="I312" i="5"/>
  <c r="I313" i="5"/>
  <c r="I256" i="5"/>
  <c r="I257" i="5"/>
  <c r="I232" i="5"/>
  <c r="I230" i="5"/>
  <c r="I231" i="5"/>
  <c r="I277" i="5"/>
  <c r="I281" i="5"/>
  <c r="I278" i="5"/>
  <c r="I297" i="5"/>
  <c r="I279" i="5"/>
  <c r="I284" i="5"/>
  <c r="I282" i="5"/>
  <c r="I247" i="5"/>
  <c r="I246" i="5"/>
  <c r="I248" i="5"/>
  <c r="I252" i="5"/>
  <c r="I255" i="5"/>
  <c r="I245" i="5"/>
  <c r="I296" i="5"/>
  <c r="I280" i="5"/>
  <c r="I291" i="5"/>
  <c r="I294" i="5"/>
  <c r="I260" i="5"/>
  <c r="I258" i="5"/>
  <c r="I259" i="5"/>
  <c r="I287" i="5"/>
  <c r="I295" i="5"/>
  <c r="I286" i="5"/>
  <c r="I285" i="5"/>
  <c r="I292" i="5"/>
  <c r="I288" i="5"/>
  <c r="I289" i="5"/>
  <c r="I261" i="5"/>
  <c r="I262" i="5"/>
  <c r="I263" i="5"/>
  <c r="I264" i="5"/>
  <c r="I265" i="5"/>
  <c r="I266" i="5"/>
  <c r="I267" i="5"/>
  <c r="I268" i="5"/>
  <c r="I269" i="5"/>
  <c r="I270" i="5"/>
  <c r="I283" i="5"/>
  <c r="I290" i="5"/>
  <c r="I293" i="5"/>
  <c r="I273" i="5"/>
  <c r="I274" i="5"/>
  <c r="I275" i="5"/>
  <c r="I276" i="5"/>
  <c r="I315" i="5"/>
  <c r="I317" i="5"/>
  <c r="I318" i="5"/>
  <c r="I314" i="5"/>
  <c r="I316" i="5"/>
  <c r="I319" i="5"/>
  <c r="I320" i="5"/>
  <c r="I321" i="5"/>
  <c r="I322" i="5"/>
  <c r="I323" i="5"/>
  <c r="I324" i="5"/>
  <c r="I325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72" i="5"/>
  <c r="I271" i="5"/>
  <c r="I299" i="5"/>
  <c r="H299" i="5"/>
</calcChain>
</file>

<file path=xl/sharedStrings.xml><?xml version="1.0" encoding="utf-8"?>
<sst xmlns="http://schemas.openxmlformats.org/spreadsheetml/2006/main" count="5844" uniqueCount="2336">
  <si>
    <t>信号代码</t>
    <phoneticPr fontId="5" type="noConversion"/>
  </si>
  <si>
    <t>人员</t>
    <phoneticPr fontId="5" type="noConversion"/>
  </si>
  <si>
    <t>其他说明</t>
    <phoneticPr fontId="5" type="noConversion"/>
  </si>
  <si>
    <t>xiaowt</t>
    <phoneticPr fontId="5" type="noConversion"/>
  </si>
  <si>
    <t>20190829新增</t>
    <phoneticPr fontId="5" type="noConversion"/>
  </si>
  <si>
    <t>lic</t>
    <phoneticPr fontId="5" type="noConversion"/>
  </si>
  <si>
    <t>liqy</t>
    <phoneticPr fontId="5" type="noConversion"/>
  </si>
  <si>
    <r>
      <t>2017</t>
    </r>
    <r>
      <rPr>
        <sz val="10.5"/>
        <color theme="1"/>
        <rFont val="宋体"/>
        <family val="3"/>
        <charset val="134"/>
      </rPr>
      <t>年新增</t>
    </r>
    <phoneticPr fontId="5" type="noConversion"/>
  </si>
  <si>
    <t>主题</t>
    <phoneticPr fontId="5" type="noConversion"/>
  </si>
  <si>
    <t>子主题</t>
    <phoneticPr fontId="5" type="noConversion"/>
  </si>
  <si>
    <t>fes2</t>
    <phoneticPr fontId="9" type="noConversion"/>
  </si>
  <si>
    <t>fg2=((预测EPS-净利润)/abs(净利润)+1)^(1/2)-1，只用年报数据</t>
    <phoneticPr fontId="9" type="noConversion"/>
  </si>
  <si>
    <t>pegl</t>
    <phoneticPr fontId="9" type="noConversion"/>
  </si>
  <si>
    <t>qdroa</t>
    <phoneticPr fontId="9" type="noConversion"/>
  </si>
  <si>
    <t>rpegl</t>
    <phoneticPr fontId="9" type="noConversion"/>
  </si>
  <si>
    <t>质量</t>
    <phoneticPr fontId="5" type="noConversion"/>
  </si>
  <si>
    <t>quality_cashflow</t>
    <phoneticPr fontId="5" type="noConversion"/>
  </si>
  <si>
    <t>价格</t>
    <phoneticPr fontId="5" type="noConversion"/>
  </si>
  <si>
    <t>流动性</t>
    <phoneticPr fontId="5" type="noConversion"/>
  </si>
  <si>
    <t>成长</t>
    <phoneticPr fontId="5" type="noConversion"/>
  </si>
  <si>
    <t>maxret11</t>
    <phoneticPr fontId="9" type="noConversion"/>
  </si>
  <si>
    <t>maxret33</t>
    <phoneticPr fontId="9" type="noConversion"/>
  </si>
  <si>
    <t>maxret66</t>
    <phoneticPr fontId="9" type="noConversion"/>
  </si>
  <si>
    <t>价值反转</t>
    <phoneticPr fontId="5" type="noConversion"/>
  </si>
  <si>
    <t>rcon_pe_roll</t>
    <phoneticPr fontId="9" type="noConversion"/>
  </si>
  <si>
    <t>rcon_pb_roll</t>
    <phoneticPr fontId="9" type="noConversion"/>
  </si>
  <si>
    <t>rcon_ps_roll</t>
    <phoneticPr fontId="9" type="noConversion"/>
  </si>
  <si>
    <t>rcon_peg_roll</t>
    <phoneticPr fontId="9" type="noConversion"/>
  </si>
  <si>
    <t>rcon_eps_roll</t>
    <phoneticPr fontId="9" type="noConversion"/>
  </si>
  <si>
    <t>ar_over</t>
    <phoneticPr fontId="5" type="noConversion"/>
  </si>
  <si>
    <t>ar_over1</t>
    <phoneticPr fontId="5" type="noConversion"/>
  </si>
  <si>
    <t>cfg_ttm</t>
    <phoneticPr fontId="5" type="noConversion"/>
  </si>
  <si>
    <t>代码</t>
    <phoneticPr fontId="5" type="noConversion"/>
  </si>
  <si>
    <t>ds2s</t>
    <phoneticPr fontId="9" type="noConversion"/>
  </si>
  <si>
    <t>ar_over</t>
    <phoneticPr fontId="9" type="noConversion"/>
  </si>
  <si>
    <t>异常隔夜回报</t>
    <phoneticPr fontId="9" type="noConversion"/>
  </si>
  <si>
    <t>ar_over1</t>
    <phoneticPr fontId="9" type="noConversion"/>
  </si>
  <si>
    <t>异常隔夜回报（加入快报预告）</t>
    <phoneticPr fontId="9" type="noConversion"/>
  </si>
  <si>
    <t>cfg_ttm</t>
    <phoneticPr fontId="9" type="noConversion"/>
  </si>
  <si>
    <t>经营性现金流净额ttm同比</t>
    <phoneticPr fontId="9" type="noConversion"/>
  </si>
  <si>
    <t>滚动一致预期净利润两年符合增长率</t>
    <phoneticPr fontId="9" type="noConversion"/>
  </si>
  <si>
    <t>滚动营业收入同比增长率</t>
    <phoneticPr fontId="9" type="noConversion"/>
  </si>
  <si>
    <t xml:space="preserve"> 个股滚动净利润复合增长率/个股未来滚动PE</t>
    <phoneticPr fontId="9" type="noConversion"/>
  </si>
  <si>
    <t>da2a</t>
    <phoneticPr fontId="9" type="noConversion"/>
  </si>
  <si>
    <t>da2ev</t>
    <phoneticPr fontId="9" type="noConversion"/>
  </si>
  <si>
    <t>de2e</t>
    <phoneticPr fontId="9" type="noConversion"/>
  </si>
  <si>
    <t>de2p</t>
    <phoneticPr fontId="9" type="noConversion"/>
  </si>
  <si>
    <t>ds2ev</t>
    <phoneticPr fontId="9" type="noConversion"/>
  </si>
  <si>
    <t>ds2p</t>
    <phoneticPr fontId="9" type="noConversion"/>
  </si>
  <si>
    <t>epsg_ttm</t>
    <phoneticPr fontId="9" type="noConversion"/>
  </si>
  <si>
    <t>fes1</t>
    <phoneticPr fontId="9" type="noConversion"/>
  </si>
  <si>
    <t>fes1=(季度(净利润)/总股本-去年同期(季度(净利润))/去年同期总股本)/(去年同期总资产/去年同期总股本)</t>
    <phoneticPr fontId="9" type="noConversion"/>
  </si>
  <si>
    <t>fes2=(季度(支付的各项税费)/总股本-去年同期(季度(支付的各项税费))/去年同期总股本)/(去年同期总资产/去年同期总股本)</t>
    <phoneticPr fontId="9" type="noConversion"/>
  </si>
  <si>
    <t>fg1</t>
    <phoneticPr fontId="9" type="noConversion"/>
  </si>
  <si>
    <t>fg1=((预测EPS-净利润)/abs(净利润)+1)^(1/1)-1，只用年报数据</t>
    <phoneticPr fontId="9" type="noConversion"/>
  </si>
  <si>
    <t>fg2</t>
    <phoneticPr fontId="9" type="noConversion"/>
  </si>
  <si>
    <t>fg3</t>
    <phoneticPr fontId="9" type="noConversion"/>
  </si>
  <si>
    <t>fg3=((预测EPS-净利润)/abs(净利润)+1)^(1/3)-1，只用年报数据</t>
    <phoneticPr fontId="9" type="noConversion"/>
  </si>
  <si>
    <t>kfes1</t>
    <phoneticPr fontId="9" type="noConversion"/>
  </si>
  <si>
    <t>kqdroa</t>
    <phoneticPr fontId="9" type="noConversion"/>
  </si>
  <si>
    <t>Ydelta（（季度营业总收入-季度营业总成本+财务费用）/最近两季度总资产平均值）</t>
    <phoneticPr fontId="9" type="noConversion"/>
  </si>
  <si>
    <t>kqdroe</t>
    <phoneticPr fontId="9" type="noConversion"/>
  </si>
  <si>
    <t>Ydelta（季度扣除非经常性损益后净利润NET_PROFIT_AFTER_DED_NR_LP/最近两季度股东权益合计(不含少数股东权益)）</t>
    <phoneticPr fontId="9" type="noConversion"/>
  </si>
  <si>
    <t>nde2p</t>
    <phoneticPr fontId="9" type="noConversion"/>
  </si>
  <si>
    <t>nds2ev</t>
    <phoneticPr fontId="9" type="noConversion"/>
  </si>
  <si>
    <t>nfes1</t>
    <phoneticPr fontId="9" type="noConversion"/>
  </si>
  <si>
    <t>npegl</t>
    <phoneticPr fontId="9" type="noConversion"/>
  </si>
  <si>
    <t>同pegl</t>
    <phoneticPr fontId="9" type="noConversion"/>
  </si>
  <si>
    <t>npegs</t>
    <phoneticPr fontId="9" type="noConversion"/>
  </si>
  <si>
    <t>同pegs</t>
    <phoneticPr fontId="9" type="noConversion"/>
  </si>
  <si>
    <t>npg_ttm</t>
    <phoneticPr fontId="9" type="noConversion"/>
  </si>
  <si>
    <t>nqcsg</t>
    <phoneticPr fontId="9" type="noConversion"/>
  </si>
  <si>
    <t>nqdroe</t>
    <phoneticPr fontId="9" type="noConversion"/>
  </si>
  <si>
    <t>opg_q</t>
    <phoneticPr fontId="9" type="noConversion"/>
  </si>
  <si>
    <t>opg_ttm</t>
    <phoneticPr fontId="9" type="noConversion"/>
  </si>
  <si>
    <t>营业利润ttm同比</t>
    <phoneticPr fontId="9" type="noConversion"/>
  </si>
  <si>
    <t>org_ttm</t>
    <phoneticPr fontId="9" type="noConversion"/>
  </si>
  <si>
    <t>营业收入ttm同比</t>
    <phoneticPr fontId="9" type="noConversion"/>
  </si>
  <si>
    <t>未来2年一致预期净利润年化增长率除以市盈率，对于由负转正的缺失，相当于用均值补全效果，预测和实际利润均为负或者增长率、市盈率同时为负的设为-10</t>
    <phoneticPr fontId="9" type="noConversion"/>
  </si>
  <si>
    <t>pegs</t>
    <phoneticPr fontId="9" type="noConversion"/>
  </si>
  <si>
    <t>未来一年一致预期净利润年化增长率除以市盈率</t>
    <phoneticPr fontId="9" type="noConversion"/>
  </si>
  <si>
    <t>8期季度净利润同比增速均值/标准差</t>
    <phoneticPr fontId="9" type="noConversion"/>
  </si>
  <si>
    <t>8期季度营业利润对时间回归的二次项系数，lm(qe~t^2+t)</t>
    <phoneticPr fontId="9" type="noConversion"/>
  </si>
  <si>
    <t>一阶差分（8期季度营业利润同比增速均值/标准差）</t>
    <phoneticPr fontId="9" type="noConversion"/>
  </si>
  <si>
    <t>8期季度营业利润同比增速均值/标准差</t>
    <phoneticPr fontId="9" type="noConversion"/>
  </si>
  <si>
    <t>8期季度营业收入对时间回归的二次项系数，lm(qe~t^2+t)</t>
    <phoneticPr fontId="9" type="noConversion"/>
  </si>
  <si>
    <t>一阶差分（8期季度营业收入同比增速均值/标准差）</t>
    <phoneticPr fontId="9" type="noConversion"/>
  </si>
  <si>
    <t>8期季度营业收入同比增速均值/标准差</t>
    <phoneticPr fontId="9" type="noConversion"/>
  </si>
  <si>
    <t>qdroe</t>
    <phoneticPr fontId="9" type="noConversion"/>
  </si>
  <si>
    <r>
      <t>来源天风，通过回归法计算企业的两年复合增长率。以最小二乘法拟合点列(1,Profit_FY0)，(2,Profit_FY1)，(3,Profit_FY2)的线性方程;同时我们添加约束条件使得回归方程通过点(1,Profit_FY0)。系数b的拟合值</t>
    </r>
    <r>
      <rPr>
        <sz val="11"/>
        <rFont val="等线"/>
        <family val="3"/>
        <charset val="129"/>
        <scheme val="minor"/>
      </rPr>
      <t>푏</t>
    </r>
    <r>
      <rPr>
        <sz val="11"/>
        <rFont val="等线"/>
        <family val="3"/>
        <charset val="134"/>
        <scheme val="minor"/>
      </rPr>
      <t>即为企业每年的净利润增长额度，将</t>
    </r>
    <r>
      <rPr>
        <sz val="11"/>
        <rFont val="等线"/>
        <family val="3"/>
        <charset val="129"/>
        <scheme val="minor"/>
      </rPr>
      <t>푏</t>
    </r>
    <r>
      <rPr>
        <sz val="11"/>
        <rFont val="等线"/>
        <family val="3"/>
        <charset val="134"/>
        <scheme val="minor"/>
      </rPr>
      <t>除以三年净利润Profit_FY0，Profit_FY1，Profit_FY2平均值即得到企业的预期复合增长率,系数可化简为b=0.4∗(fy2-fy1)+0.6∗(fy1−fy0)因此，回归系数b实质上就是企业在前后两个年度净利润增长值的加权平均，将系数除以三年的平均净利润即得到增长率Growth=b/(y0+y1+y2)/3</t>
    </r>
    <phoneticPr fontId="9" type="noConversion"/>
  </si>
  <si>
    <t>reg_con_np1</t>
    <phoneticPr fontId="9" type="noConversion"/>
  </si>
  <si>
    <t>reg_con_or</t>
    <phoneticPr fontId="9" type="noConversion"/>
  </si>
  <si>
    <t>回归计算一致预期营业收入复合增长率</t>
    <phoneticPr fontId="9" type="noConversion"/>
  </si>
  <si>
    <t>reg_con_or1</t>
    <phoneticPr fontId="9" type="noConversion"/>
  </si>
  <si>
    <t>回归计算一致预期营业收入复合增长率，调整平均收入最低为10000万</t>
    <phoneticPr fontId="9" type="noConversion"/>
  </si>
  <si>
    <t>rgrowth</t>
    <phoneticPr fontId="9" type="noConversion"/>
  </si>
  <si>
    <t>barra</t>
    <phoneticPr fontId="9" type="noConversion"/>
  </si>
  <si>
    <t>rpegl</t>
    <phoneticPr fontId="5" type="noConversion"/>
  </si>
  <si>
    <t>rpegs</t>
    <phoneticPr fontId="5" type="noConversion"/>
  </si>
  <si>
    <t>rpegs</t>
    <phoneticPr fontId="9" type="noConversion"/>
  </si>
  <si>
    <t>rpegs=Z_SCORE(pegs, 最近一年)</t>
    <phoneticPr fontId="9" type="noConversion"/>
  </si>
  <si>
    <t>sgro3</t>
    <phoneticPr fontId="9" type="noConversion"/>
  </si>
  <si>
    <t>3年回归</t>
    <phoneticPr fontId="9" type="noConversion"/>
  </si>
  <si>
    <t>sgro5</t>
    <phoneticPr fontId="9" type="noConversion"/>
  </si>
  <si>
    <t>过去5年年报每股营业收入对时间的回归系数</t>
    <phoneticPr fontId="9" type="noConversion"/>
  </si>
  <si>
    <t>价值</t>
    <phoneticPr fontId="5" type="noConversion"/>
  </si>
  <si>
    <t>另类</t>
    <phoneticPr fontId="5" type="noConversion"/>
  </si>
  <si>
    <t>高频</t>
    <phoneticPr fontId="5" type="noConversion"/>
  </si>
  <si>
    <t>amresid_amount</t>
    <phoneticPr fontId="9" type="noConversion"/>
  </si>
  <si>
    <t>上午成交额与行业回归的残差和，过去20天平均</t>
    <phoneticPr fontId="9" type="noConversion"/>
  </si>
  <si>
    <t>apm</t>
    <phoneticPr fontId="9" type="noConversion"/>
  </si>
  <si>
    <t>1)上下午收益率与市场收益率回归取残差；2）上下午收益率残差相减；3）差值标准化处理；4）与过去20天收益回归取残差。</t>
    <phoneticPr fontId="9" type="noConversion"/>
  </si>
  <si>
    <t>high_beta</t>
    <phoneticPr fontId="9" type="noConversion"/>
  </si>
  <si>
    <t>日内分钟收益率对市场平均收益率的回归系数</t>
    <phoneticPr fontId="9" type="noConversion"/>
  </si>
  <si>
    <t>high_dev</t>
    <phoneticPr fontId="9" type="noConversion"/>
  </si>
  <si>
    <t>价量相关系数，cor(vol,  price)</t>
    <phoneticPr fontId="9" type="noConversion"/>
  </si>
  <si>
    <t>high_hprice</t>
    <phoneticPr fontId="9" type="noConversion"/>
  </si>
  <si>
    <t>日内最高价首次出现的时间点</t>
    <phoneticPr fontId="9" type="noConversion"/>
  </si>
  <si>
    <t>High_PVcor</t>
    <phoneticPr fontId="9" type="noConversion"/>
  </si>
  <si>
    <t>日内价格和成交量的相关系数</t>
    <phoneticPr fontId="9" type="noConversion"/>
  </si>
  <si>
    <t>high_pvi</t>
    <phoneticPr fontId="9" type="noConversion"/>
  </si>
  <si>
    <t>sum(ret*(vol_t&gt;vol_t-1))，放量时收益率之和</t>
    <phoneticPr fontId="9" type="noConversion"/>
  </si>
  <si>
    <t>high_RetDV</t>
    <phoneticPr fontId="9" type="noConversion"/>
  </si>
  <si>
    <t>日内分钟收益率的下行波动率占比</t>
    <phoneticPr fontId="9" type="noConversion"/>
  </si>
  <si>
    <t>high_RetKurt</t>
    <phoneticPr fontId="9" type="noConversion"/>
  </si>
  <si>
    <t>日内分钟收益率的峰度</t>
    <phoneticPr fontId="9" type="noConversion"/>
  </si>
  <si>
    <t>high_RetSkew</t>
    <phoneticPr fontId="9" type="noConversion"/>
  </si>
  <si>
    <t>日内分钟收益率的偏度</t>
    <phoneticPr fontId="9" type="noConversion"/>
  </si>
  <si>
    <t>high_RetVar</t>
    <phoneticPr fontId="9" type="noConversion"/>
  </si>
  <si>
    <t>日内分钟收益率的方差</t>
    <phoneticPr fontId="9" type="noConversion"/>
  </si>
  <si>
    <t>high_smart</t>
    <phoneticPr fontId="9" type="noConversion"/>
  </si>
  <si>
    <t>VWAP(SMART)/VWAP(ALL),根据S(t）=第t分钟的涨跌幅的绝对值/第t分钟的成交量的开方来筛选聪明钱，将当天成交量累积占比前20%的S(t)最大的部分作为聪明钱的交易。</t>
    <phoneticPr fontId="9" type="noConversion"/>
  </si>
  <si>
    <t>high_vol_close</t>
    <phoneticPr fontId="9" type="noConversion"/>
  </si>
  <si>
    <t>收盘前15分钟成交量占日总成交量的比例</t>
    <phoneticPr fontId="9" type="noConversion"/>
  </si>
  <si>
    <t>high_vol_open</t>
    <phoneticPr fontId="9" type="noConversion"/>
  </si>
  <si>
    <t>开盘后15分钟成交量占日总成交量的比例</t>
    <phoneticPr fontId="9" type="noConversion"/>
  </si>
  <si>
    <t>High_VolKurt</t>
    <phoneticPr fontId="9" type="noConversion"/>
  </si>
  <si>
    <t>日内分钟成交量的峰度</t>
    <phoneticPr fontId="9" type="noConversion"/>
  </si>
  <si>
    <t>high_VolSkew</t>
    <phoneticPr fontId="9" type="noConversion"/>
  </si>
  <si>
    <t>日内分钟成交量的偏度</t>
    <phoneticPr fontId="9" type="noConversion"/>
  </si>
  <si>
    <t>high_VolVar</t>
    <phoneticPr fontId="9" type="noConversion"/>
  </si>
  <si>
    <t>日内分钟成交量的方差</t>
    <phoneticPr fontId="9" type="noConversion"/>
  </si>
  <si>
    <t>high_vr</t>
    <phoneticPr fontId="9" type="noConversion"/>
  </si>
  <si>
    <t xml:space="preserve">5分钟成交量的方差除以10分钟成交量的方差，var(vol_5)/var(vol_10) </t>
    <phoneticPr fontId="9" type="noConversion"/>
  </si>
  <si>
    <t>ILLIQ</t>
    <phoneticPr fontId="9" type="noConversion"/>
  </si>
  <si>
    <t>，同样的逻辑可以应用于高频数据</t>
    <phoneticPr fontId="9" type="noConversion"/>
  </si>
  <si>
    <t>其他</t>
    <phoneticPr fontId="5" type="noConversion"/>
  </si>
  <si>
    <t>lowopen_percent</t>
    <phoneticPr fontId="9" type="noConversion"/>
  </si>
  <si>
    <t>股价相对昨日收盘价的低开的幅度</t>
    <phoneticPr fontId="9" type="noConversion"/>
  </si>
  <si>
    <t>MinuVol_call</t>
    <phoneticPr fontId="9" type="noConversion"/>
  </si>
  <si>
    <t>集合竞价成交量占比</t>
    <phoneticPr fontId="9" type="noConversion"/>
  </si>
  <si>
    <t>MinuVol_coc</t>
    <phoneticPr fontId="9" type="noConversion"/>
  </si>
  <si>
    <t>集合竞价、开盘25分钟、收盘前10分钟成交量占比</t>
    <phoneticPr fontId="9" type="noConversion"/>
  </si>
  <si>
    <t>MinuVol_diff</t>
    <phoneticPr fontId="9" type="noConversion"/>
  </si>
  <si>
    <t>中间时间段成交量占比 – 两端成交量占比</t>
    <phoneticPr fontId="9" type="noConversion"/>
  </si>
  <si>
    <t>MinuVol_intra</t>
    <phoneticPr fontId="9" type="noConversion"/>
  </si>
  <si>
    <t>10:30~14:00两个小时成交量占比</t>
    <phoneticPr fontId="9" type="noConversion"/>
  </si>
  <si>
    <t>MinuVol_rate</t>
    <phoneticPr fontId="9" type="noConversion"/>
  </si>
  <si>
    <t>- 两端成交量占比 / 中间成交量占比</t>
    <phoneticPr fontId="9" type="noConversion"/>
  </si>
  <si>
    <t>NCV</t>
    <phoneticPr fontId="9" type="noConversion"/>
  </si>
  <si>
    <t>在TCV的基础上，分离出下跌的一致性交易，作为空头一致性交易因子</t>
    <phoneticPr fontId="9" type="noConversion"/>
  </si>
  <si>
    <t>neg_smart_money</t>
    <phoneticPr fontId="9" type="noConversion"/>
  </si>
  <si>
    <t>参看high_smart,取下跌的聪明钱一部分成交量</t>
    <phoneticPr fontId="9" type="noConversion"/>
  </si>
  <si>
    <t>ocavp</t>
    <phoneticPr fontId="9" type="noConversion"/>
  </si>
  <si>
    <t>上午集合竞价成交量占全天成交量占比</t>
    <phoneticPr fontId="9" type="noConversion"/>
  </si>
  <si>
    <t>专利</t>
    <phoneticPr fontId="5" type="noConversion"/>
  </si>
  <si>
    <t>PA4_1</t>
    <phoneticPr fontId="9" type="noConversion"/>
  </si>
  <si>
    <t>当期截止日前4年内公开的发明公开有效专利数</t>
    <phoneticPr fontId="9" type="noConversion"/>
  </si>
  <si>
    <t>PA4_10</t>
    <phoneticPr fontId="9" type="noConversion"/>
  </si>
  <si>
    <t>当期截止日前4年内实用新型有效专利IPC分类号数量平均值</t>
    <phoneticPr fontId="9" type="noConversion"/>
  </si>
  <si>
    <t>PA4_12</t>
    <phoneticPr fontId="9" type="noConversion"/>
  </si>
  <si>
    <t>当期截止日前4年内发明公开有效专利说明书总字数</t>
    <phoneticPr fontId="9" type="noConversion"/>
  </si>
  <si>
    <t>PA4_14</t>
    <phoneticPr fontId="9" type="noConversion"/>
  </si>
  <si>
    <t>当期截止日前4年内发明授权有效专利说明书总字数</t>
    <phoneticPr fontId="9" type="noConversion"/>
  </si>
  <si>
    <t>PA4_15</t>
    <phoneticPr fontId="9" type="noConversion"/>
  </si>
  <si>
    <t>当期截止日前4年内发明公开有效专利说明书字数平均值</t>
    <phoneticPr fontId="9" type="noConversion"/>
  </si>
  <si>
    <t>PA4_18</t>
    <phoneticPr fontId="9" type="noConversion"/>
  </si>
  <si>
    <t>当期截止日前4年内发明公开有效专利的权利要求总项数</t>
    <phoneticPr fontId="9" type="noConversion"/>
  </si>
  <si>
    <t>PA4_21</t>
    <phoneticPr fontId="9" type="noConversion"/>
  </si>
  <si>
    <t>当期截止日前4年内发明公开有效专利的权利要求平均项数</t>
    <phoneticPr fontId="9" type="noConversion"/>
  </si>
  <si>
    <t>PA4_24</t>
    <phoneticPr fontId="9" type="noConversion"/>
  </si>
  <si>
    <t>当期截止日前4年内发明公开有效专利的独权总项数</t>
    <phoneticPr fontId="9" type="noConversion"/>
  </si>
  <si>
    <t>PA4_26</t>
    <phoneticPr fontId="9" type="noConversion"/>
  </si>
  <si>
    <t>当期截止日前4年内发明授权有效专利的独权总项数</t>
    <phoneticPr fontId="9" type="noConversion"/>
  </si>
  <si>
    <t>PA4_30</t>
    <phoneticPr fontId="9" type="noConversion"/>
  </si>
  <si>
    <t>当期截止日前4年内发明公开有效专利说明书的附图总数</t>
    <phoneticPr fontId="9" type="noConversion"/>
  </si>
  <si>
    <t>PA4_32</t>
    <phoneticPr fontId="9" type="noConversion"/>
  </si>
  <si>
    <t>当期截止日前4年内发明授权有效专利说明书的附图总数</t>
    <phoneticPr fontId="9" type="noConversion"/>
  </si>
  <si>
    <t>PA4_36</t>
    <phoneticPr fontId="9" type="noConversion"/>
  </si>
  <si>
    <t>当期截止日前4年内发明公开摘要总字数</t>
    <phoneticPr fontId="9" type="noConversion"/>
  </si>
  <si>
    <t>PA4_6</t>
    <phoneticPr fontId="9" type="noConversion"/>
  </si>
  <si>
    <t>当期截止日前4年内发明公开有效专利IPC分类号总数</t>
    <phoneticPr fontId="9" type="noConversion"/>
  </si>
  <si>
    <t>Pan_60</t>
    <phoneticPr fontId="9" type="noConversion"/>
  </si>
  <si>
    <t>指某公司所有有效专利在过去N年被引用的次数</t>
    <phoneticPr fontId="9" type="noConversion"/>
  </si>
  <si>
    <t>PCV</t>
    <phoneticPr fontId="9" type="noConversion"/>
  </si>
  <si>
    <t>在TCV的基础上，分离出上涨的一致性交易，作为多头一致性交易因子</t>
    <phoneticPr fontId="9" type="noConversion"/>
  </si>
  <si>
    <t>Pn_60</t>
    <phoneticPr fontId="9" type="noConversion"/>
  </si>
  <si>
    <t>指某公司所有专利在过去N年被引用的次数</t>
    <phoneticPr fontId="9" type="noConversion"/>
  </si>
  <si>
    <t>pos_smart_money</t>
    <phoneticPr fontId="9" type="noConversion"/>
  </si>
  <si>
    <t>参看high_smart, 取上涨的聪明钱一部分成交量</t>
    <phoneticPr fontId="9" type="noConversion"/>
  </si>
  <si>
    <t>price2vol</t>
    <phoneticPr fontId="9" type="noConversion"/>
  </si>
  <si>
    <t>r2_amount_pm</t>
    <phoneticPr fontId="9" type="noConversion"/>
  </si>
  <si>
    <t>下午成交额与行业回归的R方</t>
    <phoneticPr fontId="9" type="noConversion"/>
  </si>
  <si>
    <t>residpos_amount_pm</t>
    <phoneticPr fontId="9" type="noConversion"/>
  </si>
  <si>
    <t>全天成交额与行业回归的残差，取下午时间正残差求和，过去20天平均</t>
    <phoneticPr fontId="9" type="noConversion"/>
  </si>
  <si>
    <t>TCV</t>
    <phoneticPr fontId="9" type="noConversion"/>
  </si>
  <si>
    <t>利用1分钟（5分钟）的K线数据，选取K线实体较大的认为为一致性交易</t>
    <phoneticPr fontId="9" type="noConversion"/>
  </si>
  <si>
    <t>成交信息因子系列</t>
    <phoneticPr fontId="9" type="noConversion"/>
  </si>
  <si>
    <t>情绪</t>
    <phoneticPr fontId="5" type="noConversion"/>
  </si>
  <si>
    <t>astd1m</t>
    <phoneticPr fontId="9" type="noConversion"/>
  </si>
  <si>
    <t>1个月成交额/收益率标准差</t>
    <phoneticPr fontId="9" type="noConversion"/>
  </si>
  <si>
    <t>astd3m</t>
    <phoneticPr fontId="9" type="noConversion"/>
  </si>
  <si>
    <t>3个月成交额/收益率标准差</t>
    <phoneticPr fontId="9" type="noConversion"/>
  </si>
  <si>
    <t>astd6m</t>
    <phoneticPr fontId="9" type="noConversion"/>
  </si>
  <si>
    <t>6个月成交额/收益率标准差</t>
    <phoneticPr fontId="9" type="noConversion"/>
  </si>
  <si>
    <t>davol</t>
    <phoneticPr fontId="9" type="noConversion"/>
  </si>
  <si>
    <r>
      <t>即最近</t>
    </r>
    <r>
      <rPr>
        <sz val="10.5"/>
        <color theme="1"/>
        <rFont val="Calibri"/>
        <family val="2"/>
      </rPr>
      <t>20</t>
    </r>
    <r>
      <rPr>
        <sz val="10.5"/>
        <color theme="1"/>
        <rFont val="SimSun"/>
        <charset val="134"/>
      </rPr>
      <t>的换手率均值</t>
    </r>
    <r>
      <rPr>
        <sz val="10.5"/>
        <color theme="1"/>
        <rFont val="Calibri"/>
        <family val="2"/>
      </rPr>
      <t>/</t>
    </r>
    <r>
      <rPr>
        <sz val="10.5"/>
        <color theme="1"/>
        <rFont val="SimSun"/>
        <charset val="134"/>
      </rPr>
      <t>最近</t>
    </r>
    <r>
      <rPr>
        <sz val="10.5"/>
        <color theme="1"/>
        <rFont val="Calibri"/>
        <family val="2"/>
      </rPr>
      <t>60</t>
    </r>
    <r>
      <rPr>
        <sz val="10.5"/>
        <color theme="1"/>
        <rFont val="SimSun"/>
        <charset val="134"/>
      </rPr>
      <t>日换手率均值，取负号。即短期换手率高，长期换手率较低的股票，未来预期收益率较低</t>
    </r>
    <phoneticPr fontId="9" type="noConversion"/>
  </si>
  <si>
    <t>davol_freeshr</t>
    <phoneticPr fontId="9" type="noConversion"/>
  </si>
  <si>
    <t>自由流通股本davol</t>
    <phoneticPr fontId="9" type="noConversion"/>
  </si>
  <si>
    <t>动量</t>
    <phoneticPr fontId="5" type="noConversion"/>
  </si>
  <si>
    <t>demom10</t>
    <phoneticPr fontId="9" type="noConversion"/>
  </si>
  <si>
    <t>过去10个月对数收益率的和：剔除最近一个月，头尾两个月的对数收益减半。</t>
    <phoneticPr fontId="9" type="noConversion"/>
  </si>
  <si>
    <t>demom7</t>
    <phoneticPr fontId="9" type="noConversion"/>
  </si>
  <si>
    <t>过去7个月对数收益率的和：剔除最近一个月，头尾两个月的对数收益减半。</t>
    <phoneticPr fontId="9" type="noConversion"/>
  </si>
  <si>
    <t>demom8</t>
    <phoneticPr fontId="9" type="noConversion"/>
  </si>
  <si>
    <t>过去8个月对数收益率的和：剔除最近一个月，头尾两个月的对数收益减半。</t>
    <phoneticPr fontId="9" type="noConversion"/>
  </si>
  <si>
    <t>demom9</t>
    <phoneticPr fontId="9" type="noConversion"/>
  </si>
  <si>
    <t>过去9个月对数收益率的和：剔除最近一个月，头尾两个月的对数收益减半。</t>
    <phoneticPr fontId="9" type="noConversion"/>
  </si>
  <si>
    <t>FreshMom</t>
    <phoneticPr fontId="9" type="noConversion"/>
  </si>
  <si>
    <t xml:space="preserve">Momentum:return between t-12 and t-2 month </t>
    <phoneticPr fontId="9" type="noConversion"/>
  </si>
  <si>
    <t>波动率</t>
    <phoneticPr fontId="5" type="noConversion"/>
  </si>
  <si>
    <t>highlow12m</t>
    <phoneticPr fontId="9" type="noConversion"/>
  </si>
  <si>
    <t>12个月最高价/最低价</t>
    <phoneticPr fontId="9" type="noConversion"/>
  </si>
  <si>
    <t>highlow1m</t>
    <phoneticPr fontId="9" type="noConversion"/>
  </si>
  <si>
    <t>1个月最高价/最低价</t>
    <phoneticPr fontId="9" type="noConversion"/>
  </si>
  <si>
    <t>highlow24m</t>
    <phoneticPr fontId="9" type="noConversion"/>
  </si>
  <si>
    <t>24个月最高价/最低价</t>
    <phoneticPr fontId="9" type="noConversion"/>
  </si>
  <si>
    <t>highlow3m</t>
    <phoneticPr fontId="9" type="noConversion"/>
  </si>
  <si>
    <t>3个月最高价/最低价</t>
    <phoneticPr fontId="9" type="noConversion"/>
  </si>
  <si>
    <t>highlow6m</t>
    <phoneticPr fontId="9" type="noConversion"/>
  </si>
  <si>
    <t>6个月最高价/最低价</t>
    <phoneticPr fontId="9" type="noConversion"/>
  </si>
  <si>
    <t>HP(LP)</t>
    <phoneticPr fontId="9" type="noConversion"/>
  </si>
  <si>
    <t>最高价(最低价)距当前的距离</t>
    <phoneticPr fontId="9" type="noConversion"/>
  </si>
  <si>
    <t>HT</t>
    <phoneticPr fontId="9" type="noConversion"/>
  </si>
  <si>
    <t>1-|最高价出现时间-最低价出现时间|/时间长度</t>
    <phoneticPr fontId="9" type="noConversion"/>
  </si>
  <si>
    <t>ivo</t>
    <phoneticPr fontId="9" type="noConversion"/>
  </si>
  <si>
    <t>过去1个月的波动率（22个交易日）</t>
    <phoneticPr fontId="9" type="noConversion"/>
  </si>
  <si>
    <t>ivo_ff12m</t>
    <phoneticPr fontId="9" type="noConversion"/>
  </si>
  <si>
    <t>过去12个月的残差波动率（22个交易日）</t>
    <phoneticPr fontId="9" type="noConversion"/>
  </si>
  <si>
    <t>ivo_ff1m</t>
    <phoneticPr fontId="9" type="noConversion"/>
  </si>
  <si>
    <t>过去1个月的残差波动率（22个交易日）</t>
    <phoneticPr fontId="9" type="noConversion"/>
  </si>
  <si>
    <t>ivo_ff24m</t>
    <phoneticPr fontId="9" type="noConversion"/>
  </si>
  <si>
    <t>过去24个月的残差波动率（22个交易日）</t>
    <phoneticPr fontId="9" type="noConversion"/>
  </si>
  <si>
    <t>ivo_ff3m</t>
    <phoneticPr fontId="9" type="noConversion"/>
  </si>
  <si>
    <t>过去3个月的残差波动率（22个交易日）</t>
    <phoneticPr fontId="9" type="noConversion"/>
  </si>
  <si>
    <t>ivo_ff6m</t>
    <phoneticPr fontId="9" type="noConversion"/>
  </si>
  <si>
    <t>过去6个月的残差波动率（22个交易日）</t>
    <phoneticPr fontId="9" type="noConversion"/>
  </si>
  <si>
    <t>ivr</t>
    <phoneticPr fontId="9" type="noConversion"/>
  </si>
  <si>
    <t>ivr_ff12m</t>
    <phoneticPr fontId="9" type="noConversion"/>
  </si>
  <si>
    <t>过去12个月的R方（22个交易日）</t>
    <phoneticPr fontId="9" type="noConversion"/>
  </si>
  <si>
    <t>ivr_ff1m</t>
    <phoneticPr fontId="9" type="noConversion"/>
  </si>
  <si>
    <t>过去1个月的R方（22个交易日）</t>
    <phoneticPr fontId="9" type="noConversion"/>
  </si>
  <si>
    <t>ivr_ff24m</t>
    <phoneticPr fontId="9" type="noConversion"/>
  </si>
  <si>
    <t>过去24个月的R方（22个交易日）</t>
    <phoneticPr fontId="9" type="noConversion"/>
  </si>
  <si>
    <t>ivr_ff3m</t>
    <phoneticPr fontId="9" type="noConversion"/>
  </si>
  <si>
    <t>过去3个月的R方（22个交易日）</t>
    <phoneticPr fontId="9" type="noConversion"/>
  </si>
  <si>
    <t>ivr_ff6m</t>
    <phoneticPr fontId="9" type="noConversion"/>
  </si>
  <si>
    <t>过去6个月的R方（22个交易日）</t>
    <phoneticPr fontId="9" type="noConversion"/>
  </si>
  <si>
    <t>liquidty</t>
    <phoneticPr fontId="9" type="noConversion"/>
  </si>
  <si>
    <t>0.35 · STOM + 0.35 · STOQ + 0.30 · STOA</t>
    <phoneticPr fontId="9" type="noConversion"/>
  </si>
  <si>
    <t>lsf</t>
    <phoneticPr fontId="9" type="noConversion"/>
  </si>
  <si>
    <t>20日非流动性abs(收益率/成交数量）</t>
    <phoneticPr fontId="9" type="noConversion"/>
  </si>
  <si>
    <t>m52w</t>
    <phoneticPr fontId="9" type="noConversion"/>
  </si>
  <si>
    <t>当前价格/过去52周最高价格</t>
    <phoneticPr fontId="9" type="noConversion"/>
  </si>
  <si>
    <t>MAD</t>
    <phoneticPr fontId="9" type="noConversion"/>
  </si>
  <si>
    <t>MA(21)/MA(200)</t>
    <phoneticPr fontId="9" type="noConversion"/>
  </si>
  <si>
    <t>mad_amount_20240</t>
    <phoneticPr fontId="9" type="noConversion"/>
  </si>
  <si>
    <t>过去20日日均成交额/过去400日日均成交额,日均成交金额/日均流通市值</t>
    <phoneticPr fontId="9" type="noConversion"/>
  </si>
  <si>
    <t>mad_amount_2060</t>
    <phoneticPr fontId="9" type="noConversion"/>
  </si>
  <si>
    <t>过去20日日均成交额/过去60日日均成交额,日均成交金额/日均流通市值</t>
    <phoneticPr fontId="9" type="noConversion"/>
  </si>
  <si>
    <t>mad_volume_20240</t>
    <phoneticPr fontId="9" type="noConversion"/>
  </si>
  <si>
    <t>过去20日日均成交量/过去240日日均成交量,日均成交金额/日均流通市值</t>
    <phoneticPr fontId="9" type="noConversion"/>
  </si>
  <si>
    <t>mad_volume_2060</t>
    <phoneticPr fontId="9" type="noConversion"/>
  </si>
  <si>
    <t>过去20日日均成交量/过去60日日均成交量,日均成交金额/日均流通市值</t>
    <phoneticPr fontId="9" type="noConversion"/>
  </si>
  <si>
    <t>mad1060</t>
    <phoneticPr fontId="9" type="noConversion"/>
  </si>
  <si>
    <t>1-10日均价/120均价</t>
    <phoneticPr fontId="9" type="noConversion"/>
  </si>
  <si>
    <t>mad120</t>
    <phoneticPr fontId="9" type="noConversion"/>
  </si>
  <si>
    <t>当前后复权收盘价/20日收盘均价 - 1</t>
    <phoneticPr fontId="9" type="noConversion"/>
  </si>
  <si>
    <t>mad20120</t>
    <phoneticPr fontId="9" type="noConversion"/>
  </si>
  <si>
    <t>1-20日均价/120均价</t>
    <phoneticPr fontId="9" type="noConversion"/>
  </si>
  <si>
    <t>mad20240</t>
    <phoneticPr fontId="9" type="noConversion"/>
  </si>
  <si>
    <t>1-20日均价/240均价</t>
    <phoneticPr fontId="9" type="noConversion"/>
  </si>
  <si>
    <t>mad2060</t>
    <phoneticPr fontId="9" type="noConversion"/>
  </si>
  <si>
    <t>1-20日均价/60均价</t>
    <phoneticPr fontId="9" type="noConversion"/>
  </si>
  <si>
    <t>mad3090</t>
    <phoneticPr fontId="9" type="noConversion"/>
  </si>
  <si>
    <t>1-30日均价/90均价</t>
    <phoneticPr fontId="9" type="noConversion"/>
  </si>
  <si>
    <t>mad560</t>
    <phoneticPr fontId="9" type="noConversion"/>
  </si>
  <si>
    <t>5日均价/60日均价</t>
    <phoneticPr fontId="9" type="noConversion"/>
  </si>
  <si>
    <t>最近1个月的日收益率的最大值</t>
    <phoneticPr fontId="9" type="noConversion"/>
  </si>
  <si>
    <t>最近3个月的最大3日收益率的均值</t>
    <phoneticPr fontId="9" type="noConversion"/>
  </si>
  <si>
    <t>最近6个月的最大6日收益率的均值</t>
    <phoneticPr fontId="9" type="noConversion"/>
  </si>
  <si>
    <t>momentum_t12</t>
    <phoneticPr fontId="9" type="noConversion"/>
  </si>
  <si>
    <t>过去一年的复权价格日序列对时间t作简单线性回归的t值,剔除最近一个月。</t>
    <phoneticPr fontId="9" type="noConversion"/>
  </si>
  <si>
    <t>MomVol</t>
    <phoneticPr fontId="9" type="noConversion"/>
  </si>
  <si>
    <t>波动率调整后的动量，类似于夏普</t>
    <phoneticPr fontId="9" type="noConversion"/>
  </si>
  <si>
    <t>pairs</t>
    <phoneticPr fontId="9" type="noConversion"/>
  </si>
  <si>
    <t>个股对行业的协整关系，个股回报对行业回报的均值回复</t>
    <phoneticPr fontId="9" type="noConversion"/>
  </si>
  <si>
    <r>
      <rPr>
        <sz val="10.5"/>
        <color theme="1"/>
        <rFont val="等线"/>
        <family val="2"/>
      </rPr>
      <t>一致预期滚动</t>
    </r>
    <r>
      <rPr>
        <sz val="10.5"/>
        <color theme="1"/>
        <rFont val="Calibri"/>
        <family val="2"/>
      </rPr>
      <t>PEPS</t>
    </r>
    <r>
      <rPr>
        <sz val="10.5"/>
        <color theme="1"/>
        <rFont val="等线"/>
        <family val="2"/>
      </rPr>
      <t>当前值相对最近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</si>
  <si>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r>
      <rPr>
        <sz val="10.5"/>
        <color theme="1"/>
        <rFont val="等线"/>
        <family val="2"/>
      </rPr>
      <t>一致预期滚动</t>
    </r>
    <r>
      <rPr>
        <sz val="10.5"/>
        <color theme="1"/>
        <rFont val="Calibri"/>
        <family val="2"/>
      </rPr>
      <t>PB</t>
    </r>
    <r>
      <rPr>
        <sz val="10.5"/>
        <color theme="1"/>
        <rFont val="等线"/>
        <family val="2"/>
      </rPr>
      <t>当前值相对最近</t>
    </r>
    <r>
      <rPr>
        <sz val="10.5"/>
        <color theme="1"/>
        <rFont val="Calibri"/>
        <family val="2"/>
      </rPr>
      <t>2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</si>
  <si>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r>
      <rPr>
        <sz val="10.5"/>
        <color theme="1"/>
        <rFont val="等线"/>
        <family val="2"/>
      </rPr>
      <t>一致预期滚动</t>
    </r>
    <r>
      <rPr>
        <sz val="10.5"/>
        <color theme="1"/>
        <rFont val="Calibri"/>
        <family val="2"/>
      </rPr>
      <t>PE</t>
    </r>
    <r>
      <rPr>
        <sz val="10.5"/>
        <color theme="1"/>
        <rFont val="等线"/>
        <family val="2"/>
      </rPr>
      <t>当前值相对最近</t>
    </r>
    <r>
      <rPr>
        <sz val="10.5"/>
        <color theme="1"/>
        <rFont val="Calibri"/>
        <family val="2"/>
      </rPr>
      <t>1</t>
    </r>
    <r>
      <rPr>
        <sz val="10.5"/>
        <color theme="1"/>
        <rFont val="等线"/>
        <family val="2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</si>
  <si>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r>
      <rPr>
        <sz val="10.5"/>
        <color theme="1"/>
        <rFont val="等线"/>
        <family val="2"/>
      </rPr>
      <t>一致预期滚动</t>
    </r>
    <r>
      <rPr>
        <sz val="10.5"/>
        <color theme="1"/>
        <rFont val="Calibri"/>
        <family val="2"/>
      </rPr>
      <t>PEG</t>
    </r>
    <r>
      <rPr>
        <sz val="10.5"/>
        <color theme="1"/>
        <rFont val="等线"/>
        <family val="2"/>
      </rPr>
      <t>当前值相对最近</t>
    </r>
    <r>
      <rPr>
        <sz val="10.5"/>
        <color theme="1"/>
        <rFont val="Calibri"/>
        <family val="2"/>
      </rPr>
      <t>4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</si>
  <si>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r>
      <rPr>
        <sz val="10.5"/>
        <color theme="1"/>
        <rFont val="等线"/>
        <family val="2"/>
      </rPr>
      <t>一致预期滚动</t>
    </r>
    <r>
      <rPr>
        <sz val="10.5"/>
        <color theme="1"/>
        <rFont val="Calibri"/>
        <family val="2"/>
      </rPr>
      <t>PS</t>
    </r>
    <r>
      <rPr>
        <sz val="10.5"/>
        <color theme="1"/>
        <rFont val="等线"/>
        <family val="2"/>
      </rPr>
      <t>当前值相对最近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</si>
  <si>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t>ret12m</t>
    <phoneticPr fontId="9" type="noConversion"/>
  </si>
  <si>
    <t>过去12个月涨跌幅</t>
    <phoneticPr fontId="9" type="noConversion"/>
  </si>
  <si>
    <t>ret12m_1m</t>
    <phoneticPr fontId="9" type="noConversion"/>
  </si>
  <si>
    <t>过去12个月涨跌幅（剔除最近1月），实际为11个月</t>
    <phoneticPr fontId="9" type="noConversion"/>
  </si>
  <si>
    <t>ret1m</t>
    <phoneticPr fontId="9" type="noConversion"/>
  </si>
  <si>
    <t>过去1个月涨跌幅</t>
    <phoneticPr fontId="9" type="noConversion"/>
  </si>
  <si>
    <t>ret24m</t>
    <phoneticPr fontId="9" type="noConversion"/>
  </si>
  <si>
    <t>过去24个月涨跌幅</t>
    <phoneticPr fontId="9" type="noConversion"/>
  </si>
  <si>
    <t>ret24m_1m</t>
    <phoneticPr fontId="9" type="noConversion"/>
  </si>
  <si>
    <t>过去24个月涨跌幅（剔除最近1月），实际为23个月</t>
    <phoneticPr fontId="9" type="noConversion"/>
  </si>
  <si>
    <t>ret3m</t>
    <phoneticPr fontId="9" type="noConversion"/>
  </si>
  <si>
    <t>过去3个月涨跌幅</t>
    <phoneticPr fontId="9" type="noConversion"/>
  </si>
  <si>
    <t>ret3m_1m</t>
    <phoneticPr fontId="9" type="noConversion"/>
  </si>
  <si>
    <t>过去3个月涨跌幅（剔除最近1月），实际为2个月</t>
    <phoneticPr fontId="9" type="noConversion"/>
  </si>
  <si>
    <t>ret6m</t>
    <phoneticPr fontId="9" type="noConversion"/>
  </si>
  <si>
    <t>过去6个月涨跌幅</t>
    <phoneticPr fontId="9" type="noConversion"/>
  </si>
  <si>
    <t>ret6m_1m</t>
    <phoneticPr fontId="9" type="noConversion"/>
  </si>
  <si>
    <t>过去6个月涨跌幅（剔除最近1月），实际为5个月</t>
    <phoneticPr fontId="9" type="noConversion"/>
  </si>
  <si>
    <t>revs</t>
    <phoneticPr fontId="9" type="noConversion"/>
  </si>
  <si>
    <t>价格反转，最近40日日回报的时间加权</t>
    <phoneticPr fontId="9" type="noConversion"/>
  </si>
  <si>
    <t>spb</t>
    <phoneticPr fontId="9" type="noConversion"/>
  </si>
  <si>
    <r>
      <t>类似</t>
    </r>
    <r>
      <rPr>
        <sz val="10.5"/>
        <color theme="1"/>
        <rFont val="Calibri"/>
        <family val="2"/>
      </rPr>
      <t>pairs</t>
    </r>
    <r>
      <rPr>
        <sz val="10.5"/>
        <color theme="1"/>
        <rFont val="Microsoft YaHei"/>
        <family val="2"/>
        <charset val="134"/>
      </rPr>
      <t>，</t>
    </r>
    <r>
      <rPr>
        <sz val="10.5"/>
        <color theme="1"/>
        <rFont val="Calibri"/>
        <family val="2"/>
      </rPr>
      <t>pairs</t>
    </r>
    <r>
      <rPr>
        <sz val="10.5"/>
        <color theme="1"/>
        <rFont val="Microsoft YaHei"/>
        <family val="2"/>
        <charset val="134"/>
      </rPr>
      <t>分组采用中性二级分类</t>
    </r>
    <phoneticPr fontId="9" type="noConversion"/>
  </si>
  <si>
    <t>tprtn</t>
    <phoneticPr fontId="9" type="noConversion"/>
  </si>
  <si>
    <t>一致预期潜在收益率(3家以上为tprtn1,1家以上为tprtn2）</t>
    <phoneticPr fontId="9" type="noConversion"/>
  </si>
  <si>
    <t>turnover_amount1m</t>
    <phoneticPr fontId="9" type="noConversion"/>
  </si>
  <si>
    <t>最近一个月买卖循环率</t>
    <phoneticPr fontId="9" type="noConversion"/>
  </si>
  <si>
    <t>turnover_amount3m</t>
    <phoneticPr fontId="9" type="noConversion"/>
  </si>
  <si>
    <t>最近三个月买卖循环率</t>
    <phoneticPr fontId="9" type="noConversion"/>
  </si>
  <si>
    <t>turnover_amount6m</t>
    <phoneticPr fontId="9" type="noConversion"/>
  </si>
  <si>
    <t>最近六个月买卖循环率</t>
    <phoneticPr fontId="9" type="noConversion"/>
  </si>
  <si>
    <t>turnover12m</t>
    <phoneticPr fontId="9" type="noConversion"/>
  </si>
  <si>
    <t>过去12个月换手率</t>
    <phoneticPr fontId="9" type="noConversion"/>
  </si>
  <si>
    <t>turnover1m</t>
    <phoneticPr fontId="9" type="noConversion"/>
  </si>
  <si>
    <t>过去1个月换手率</t>
    <phoneticPr fontId="9" type="noConversion"/>
  </si>
  <si>
    <t>turnover24m</t>
    <phoneticPr fontId="9" type="noConversion"/>
  </si>
  <si>
    <t>过去24个月换手率</t>
    <phoneticPr fontId="9" type="noConversion"/>
  </si>
  <si>
    <t>turnover3m</t>
    <phoneticPr fontId="9" type="noConversion"/>
  </si>
  <si>
    <t>过去3个月换手率</t>
    <phoneticPr fontId="9" type="noConversion"/>
  </si>
  <si>
    <t>turnover6m</t>
    <phoneticPr fontId="9" type="noConversion"/>
  </si>
  <si>
    <t>过去6个月换手率</t>
    <phoneticPr fontId="9" type="noConversion"/>
  </si>
  <si>
    <t>vol</t>
    <phoneticPr fontId="9" type="noConversion"/>
  </si>
  <si>
    <t>最近40天加权换手率，构造类似revs</t>
    <phoneticPr fontId="9" type="noConversion"/>
  </si>
  <si>
    <t>vol_freeshr</t>
    <phoneticPr fontId="9" type="noConversion"/>
  </si>
  <si>
    <t>自由流通股本换手率</t>
    <phoneticPr fontId="9" type="noConversion"/>
  </si>
  <si>
    <t>volatility_actual12m</t>
    <phoneticPr fontId="9" type="noConversion"/>
  </si>
  <si>
    <t>过去12m日内真实波幅均值</t>
    <phoneticPr fontId="9" type="noConversion"/>
  </si>
  <si>
    <t>volatility_actual1m</t>
    <phoneticPr fontId="9" type="noConversion"/>
  </si>
  <si>
    <t>过去1m日内真实波幅均值</t>
    <phoneticPr fontId="9" type="noConversion"/>
  </si>
  <si>
    <t>volatility_actual24m</t>
    <phoneticPr fontId="9" type="noConversion"/>
  </si>
  <si>
    <t>过去24m日内真实波幅均值</t>
    <phoneticPr fontId="9" type="noConversion"/>
  </si>
  <si>
    <t>volatility_actual3m</t>
    <phoneticPr fontId="9" type="noConversion"/>
  </si>
  <si>
    <t>过去3m日内真实波幅均值</t>
    <phoneticPr fontId="9" type="noConversion"/>
  </si>
  <si>
    <t>volatility_actual6m</t>
    <phoneticPr fontId="9" type="noConversion"/>
  </si>
  <si>
    <t>过去6m日内真实波幅均值</t>
    <phoneticPr fontId="9" type="noConversion"/>
  </si>
  <si>
    <t>volatility12m</t>
    <phoneticPr fontId="9" type="noConversion"/>
  </si>
  <si>
    <t>过去12个月的波动率（22个交易日）</t>
    <phoneticPr fontId="9" type="noConversion"/>
  </si>
  <si>
    <t>volatility1m</t>
    <phoneticPr fontId="9" type="noConversion"/>
  </si>
  <si>
    <t>volatility24m</t>
    <phoneticPr fontId="9" type="noConversion"/>
  </si>
  <si>
    <t>过去24个月的波动率（22个交易日）</t>
    <phoneticPr fontId="9" type="noConversion"/>
  </si>
  <si>
    <t>volatility3m</t>
    <phoneticPr fontId="9" type="noConversion"/>
  </si>
  <si>
    <t>过去3个月的波动率（22个交易日）</t>
    <phoneticPr fontId="9" type="noConversion"/>
  </si>
  <si>
    <t>volatility6m</t>
    <phoneticPr fontId="9" type="noConversion"/>
  </si>
  <si>
    <t>过去6个月的波动率（22个交易日）</t>
    <phoneticPr fontId="9" type="noConversion"/>
  </si>
  <si>
    <t>volume_volatility12m</t>
    <phoneticPr fontId="9" type="noConversion"/>
  </si>
  <si>
    <t>成交量波动率12m</t>
    <phoneticPr fontId="9" type="noConversion"/>
  </si>
  <si>
    <t>volume_volatility1m</t>
    <phoneticPr fontId="9" type="noConversion"/>
  </si>
  <si>
    <t>成交量波动率1m</t>
    <phoneticPr fontId="9" type="noConversion"/>
  </si>
  <si>
    <t>volume_volatility24m</t>
    <phoneticPr fontId="9" type="noConversion"/>
  </si>
  <si>
    <t>成交量波动率24m</t>
    <phoneticPr fontId="9" type="noConversion"/>
  </si>
  <si>
    <t>volume_volatility3m</t>
    <phoneticPr fontId="9" type="noConversion"/>
  </si>
  <si>
    <t>成交量波动率3m</t>
    <phoneticPr fontId="9" type="noConversion"/>
  </si>
  <si>
    <t>volume_volatility6m</t>
    <phoneticPr fontId="9" type="noConversion"/>
  </si>
  <si>
    <t>成交量波动率6m</t>
    <phoneticPr fontId="9" type="noConversion"/>
  </si>
  <si>
    <t>股价加速度</t>
    <phoneticPr fontId="9" type="noConversion"/>
  </si>
  <si>
    <t>momentum_t12的二次回归</t>
    <phoneticPr fontId="9" type="noConversion"/>
  </si>
  <si>
    <t>极端反转、温和动量</t>
    <phoneticPr fontId="9" type="noConversion"/>
  </si>
  <si>
    <t>计算48个日内5分钟对数收益率的中位数(md)和MAD(MAD = median(x-md))、MAD2 = 1.483*MAD，偏离1.96倍MAD2以上的所有5分钟收益率为极端收益率，其他的称为温和收益率。</t>
    <phoneticPr fontId="9" type="noConversion"/>
  </si>
  <si>
    <t>日内动量、隔夜反转</t>
    <phoneticPr fontId="9" type="noConversion"/>
  </si>
  <si>
    <t>参考萌博PPT</t>
    <phoneticPr fontId="9" type="noConversion"/>
  </si>
  <si>
    <t>abacc</t>
    <phoneticPr fontId="9" type="noConversion"/>
  </si>
  <si>
    <r>
      <t>计算方法同</t>
    </r>
    <r>
      <rPr>
        <sz val="10.5"/>
        <color theme="1"/>
        <rFont val="Calibri"/>
        <family val="2"/>
      </rPr>
      <t>abaccall</t>
    </r>
    <r>
      <rPr>
        <sz val="10.5"/>
        <color theme="1"/>
        <rFont val="宋体"/>
        <family val="3"/>
        <charset val="134"/>
      </rPr>
      <t>，但剔除了营业利润为负的个股</t>
    </r>
    <phoneticPr fontId="9" type="noConversion"/>
  </si>
  <si>
    <t>abaccall</t>
    <phoneticPr fontId="9" type="noConversion"/>
  </si>
  <si>
    <r>
      <t>应计利润</t>
    </r>
    <r>
      <rPr>
        <sz val="10.5"/>
        <color theme="1"/>
        <rFont val="Calibri"/>
        <family val="2"/>
      </rPr>
      <t>~1/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年营业收入变化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固定资产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 xml:space="preserve">  </t>
    </r>
    <r>
      <rPr>
        <sz val="10.5"/>
        <color theme="1"/>
        <rFont val="宋体"/>
        <family val="3"/>
        <charset val="134"/>
      </rPr>
      <t>回归残差为该因子（没有剔除营业利润为负个股）</t>
    </r>
    <phoneticPr fontId="9" type="noConversion"/>
  </si>
  <si>
    <t>acc1</t>
    <phoneticPr fontId="9" type="noConversion"/>
  </si>
  <si>
    <r>
      <t>（营业利润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经营性现金流）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平均总资产</t>
    </r>
    <phoneticPr fontId="9" type="noConversion"/>
  </si>
  <si>
    <t>acca</t>
    <phoneticPr fontId="9" type="noConversion"/>
  </si>
  <si>
    <r>
      <t>(TTM(</t>
    </r>
    <r>
      <rPr>
        <sz val="10.5"/>
        <color theme="1"/>
        <rFont val="宋体"/>
        <family val="3"/>
        <charset val="134"/>
      </rPr>
      <t>经营性现金流</t>
    </r>
    <r>
      <rPr>
        <sz val="10.5"/>
        <color theme="1"/>
        <rFont val="Calibri"/>
        <family val="2"/>
      </rPr>
      <t>)-TTM(</t>
    </r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>))/YMean(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)</t>
    </r>
    <phoneticPr fontId="9" type="noConversion"/>
  </si>
  <si>
    <t>quality_safety</t>
    <phoneticPr fontId="5" type="noConversion"/>
  </si>
  <si>
    <r>
      <t>相对市场的</t>
    </r>
    <r>
      <rPr>
        <sz val="10.5"/>
        <color theme="1"/>
        <rFont val="Calibri"/>
        <family val="2"/>
      </rPr>
      <t>-beta</t>
    </r>
    <phoneticPr fontId="9" type="noConversion"/>
  </si>
  <si>
    <t>ccr</t>
    <phoneticPr fontId="9" type="noConversion"/>
  </si>
  <si>
    <t>现金流动负债比率=经营净现金流/流动负债</t>
    <phoneticPr fontId="9" type="noConversion"/>
  </si>
  <si>
    <t>ccrd</t>
    <phoneticPr fontId="9" type="noConversion"/>
  </si>
  <si>
    <t>当期现金流动负债比率-现金流动负债比率，现金流动负债比率=经营净现金流/流动负债</t>
    <phoneticPr fontId="9" type="noConversion"/>
  </si>
  <si>
    <t>cd2d</t>
    <phoneticPr fontId="9" type="noConversion"/>
  </si>
  <si>
    <r>
      <t>流动负债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总负债</t>
    </r>
    <phoneticPr fontId="9" type="noConversion"/>
  </si>
  <si>
    <t>cfovol2a</t>
    <phoneticPr fontId="9" type="noConversion"/>
  </si>
  <si>
    <r>
      <t>现金流波动率</t>
    </r>
    <r>
      <rPr>
        <sz val="10.5"/>
        <color theme="1"/>
        <rFont val="Calibri"/>
        <family val="2"/>
      </rPr>
      <t>=5</t>
    </r>
    <r>
      <rPr>
        <sz val="10.5"/>
        <color theme="1"/>
        <rFont val="宋体"/>
        <family val="3"/>
        <charset val="134"/>
      </rPr>
      <t>年现金流波动率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平均总资产</t>
    </r>
    <phoneticPr fontId="9" type="noConversion"/>
  </si>
  <si>
    <t>cr</t>
    <phoneticPr fontId="9" type="noConversion"/>
  </si>
  <si>
    <t>现金比率=(现金+交易性金融资产)/流动负债</t>
    <phoneticPr fontId="9" type="noConversion"/>
  </si>
  <si>
    <t>crd</t>
    <phoneticPr fontId="9" type="noConversion"/>
  </si>
  <si>
    <t>当期现金比率-上期现金比率，现金比率=(现金+交易性金融资产)/流动负债</t>
    <phoneticPr fontId="9" type="noConversion"/>
  </si>
  <si>
    <t>cur</t>
    <phoneticPr fontId="9" type="noConversion"/>
  </si>
  <si>
    <t>流动比率=流动资产/流动负债</t>
    <phoneticPr fontId="9" type="noConversion"/>
  </si>
  <si>
    <t>curd</t>
    <phoneticPr fontId="9" type="noConversion"/>
  </si>
  <si>
    <t>当期流动比率-上期流动比率，流动比率=流动资产/流动负债</t>
    <phoneticPr fontId="9" type="noConversion"/>
  </si>
  <si>
    <t>quality_profit</t>
    <phoneticPr fontId="5" type="noConversion"/>
  </si>
  <si>
    <t>dcfoa</t>
    <phoneticPr fontId="9" type="noConversion"/>
  </si>
  <si>
    <r>
      <t>（调整后的经营活动净现金流</t>
    </r>
    <r>
      <rPr>
        <sz val="10.5"/>
        <color theme="1"/>
        <rFont val="Calibri"/>
        <family val="2"/>
      </rPr>
      <t>-5</t>
    </r>
    <r>
      <rPr>
        <sz val="10.5"/>
        <color theme="1"/>
        <rFont val="宋体"/>
        <family val="3"/>
        <charset val="134"/>
      </rPr>
      <t>年前调整后的经营活动净现金流）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总资产</t>
    </r>
    <phoneticPr fontId="9" type="noConversion"/>
  </si>
  <si>
    <t>depad</t>
    <phoneticPr fontId="9" type="noConversion"/>
  </si>
  <si>
    <r>
      <t>YDelta(</t>
    </r>
    <r>
      <rPr>
        <sz val="10.5"/>
        <color theme="1"/>
        <rFont val="宋体"/>
        <family val="3"/>
        <charset val="134"/>
      </rPr>
      <t>预收款项</t>
    </r>
    <r>
      <rPr>
        <sz val="10.5"/>
        <color theme="1"/>
        <rFont val="Calibri"/>
        <family val="2"/>
      </rPr>
      <t>)/YMean(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)</t>
    </r>
    <phoneticPr fontId="9" type="noConversion"/>
  </si>
  <si>
    <t>dgmar</t>
    <phoneticPr fontId="9" type="noConversion"/>
  </si>
  <si>
    <r>
      <t>（营业利润</t>
    </r>
    <r>
      <rPr>
        <sz val="10.5"/>
        <color theme="1"/>
        <rFont val="Calibri"/>
        <family val="2"/>
      </rPr>
      <t>-5</t>
    </r>
    <r>
      <rPr>
        <sz val="10.5"/>
        <color theme="1"/>
        <rFont val="宋体"/>
        <family val="3"/>
        <charset val="134"/>
      </rPr>
      <t>年前营业利润）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总收入</t>
    </r>
    <phoneticPr fontId="9" type="noConversion"/>
  </si>
  <si>
    <t>dgpoa</t>
    <phoneticPr fontId="9" type="noConversion"/>
  </si>
  <si>
    <r>
      <t>（营业利润</t>
    </r>
    <r>
      <rPr>
        <sz val="10.5"/>
        <color theme="1"/>
        <rFont val="Calibri"/>
        <family val="2"/>
      </rPr>
      <t>-5</t>
    </r>
    <r>
      <rPr>
        <sz val="10.5"/>
        <color theme="1"/>
        <rFont val="宋体"/>
        <family val="3"/>
        <charset val="134"/>
      </rPr>
      <t>年前营业利润）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总资产</t>
    </r>
    <phoneticPr fontId="9" type="noConversion"/>
  </si>
  <si>
    <t>quality_manage</t>
    <phoneticPr fontId="5" type="noConversion"/>
  </si>
  <si>
    <t>dirn</t>
    <phoneticPr fontId="9" type="noConversion"/>
  </si>
  <si>
    <t>董事会委员数量</t>
    <phoneticPr fontId="9" type="noConversion"/>
  </si>
  <si>
    <t>droa</t>
    <phoneticPr fontId="9" type="noConversion"/>
  </si>
  <si>
    <r>
      <t>（营业利润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财务费用</t>
    </r>
    <r>
      <rPr>
        <sz val="10.5"/>
        <color theme="1"/>
        <rFont val="Calibri"/>
        <family val="2"/>
      </rPr>
      <t>-5</t>
    </r>
    <r>
      <rPr>
        <sz val="10.5"/>
        <color theme="1"/>
        <rFont val="宋体"/>
        <family val="3"/>
        <charset val="134"/>
      </rPr>
      <t>年前营业利润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财务费用）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总资产</t>
    </r>
    <phoneticPr fontId="9" type="noConversion"/>
  </si>
  <si>
    <t>droe</t>
    <phoneticPr fontId="9" type="noConversion"/>
  </si>
  <si>
    <r>
      <t>（净利润</t>
    </r>
    <r>
      <rPr>
        <sz val="10.5"/>
        <color theme="1"/>
        <rFont val="Calibri"/>
        <family val="2"/>
      </rPr>
      <t>-5</t>
    </r>
    <r>
      <rPr>
        <sz val="10.5"/>
        <color theme="1"/>
        <rFont val="宋体"/>
        <family val="3"/>
        <charset val="134"/>
      </rPr>
      <t>年前净利润）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所有者权益</t>
    </r>
    <phoneticPr fontId="9" type="noConversion"/>
  </si>
  <si>
    <t>dygpoa</t>
    <phoneticPr fontId="9" type="noConversion"/>
  </si>
  <si>
    <r>
      <t>总资产毛利率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去年同期总资产毛利率</t>
    </r>
    <phoneticPr fontId="9" type="noConversion"/>
  </si>
  <si>
    <t>e2c_q</t>
    <phoneticPr fontId="9" type="noConversion"/>
  </si>
  <si>
    <r>
      <t>季度净利润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营业总成本</t>
    </r>
    <phoneticPr fontId="9" type="noConversion"/>
  </si>
  <si>
    <r>
      <t>12</t>
    </r>
    <r>
      <rPr>
        <sz val="10.5"/>
        <color theme="1"/>
        <rFont val="宋体"/>
        <family val="3"/>
        <charset val="134"/>
      </rPr>
      <t>个季度</t>
    </r>
    <r>
      <rPr>
        <sz val="10.5"/>
        <color theme="1"/>
        <rFont val="Calibri"/>
        <family val="2"/>
      </rPr>
      <t>roe</t>
    </r>
    <r>
      <rPr>
        <sz val="10.5"/>
        <color theme="1"/>
        <rFont val="宋体"/>
        <family val="3"/>
        <charset val="134"/>
      </rPr>
      <t>的标准差</t>
    </r>
    <phoneticPr fontId="9" type="noConversion"/>
  </si>
  <si>
    <t>evol2a</t>
    <phoneticPr fontId="9" type="noConversion"/>
  </si>
  <si>
    <r>
      <t>利润总额波动率</t>
    </r>
    <r>
      <rPr>
        <sz val="10.5"/>
        <color theme="1"/>
        <rFont val="Calibri"/>
        <family val="2"/>
      </rPr>
      <t>=5</t>
    </r>
    <r>
      <rPr>
        <sz val="10.5"/>
        <color theme="1"/>
        <rFont val="宋体"/>
        <family val="3"/>
        <charset val="134"/>
      </rPr>
      <t>年利润波动率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平均总资产</t>
    </r>
    <phoneticPr fontId="9" type="noConversion"/>
  </si>
  <si>
    <t>fcf</t>
    <phoneticPr fontId="9" type="noConversion"/>
  </si>
  <si>
    <t>经营活动产生的现金流量净额—（购置固定资产无形资产和其他长期资产支付的现金+取得子公司及其他营业单位支付的现金净额—处置固定资产无形资产和其他长期资产收回的现金净额—处置子公司及其他营业单位收到的现金净额）</t>
    <phoneticPr fontId="9" type="noConversion"/>
  </si>
  <si>
    <t>ffsp</t>
    <phoneticPr fontId="9" type="noConversion"/>
  </si>
  <si>
    <r>
      <t>流通股本数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总股本数</t>
    </r>
    <phoneticPr fontId="9" type="noConversion"/>
  </si>
  <si>
    <t>fhp</t>
    <phoneticPr fontId="9" type="noConversion"/>
  </si>
  <si>
    <r>
      <t>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大股东持股比例</t>
    </r>
    <phoneticPr fontId="9" type="noConversion"/>
  </si>
  <si>
    <t>gmar</t>
    <phoneticPr fontId="9" type="noConversion"/>
  </si>
  <si>
    <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)/Mean(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)</t>
    </r>
    <phoneticPr fontId="9" type="noConversion"/>
  </si>
  <si>
    <t>gpm_q</t>
    <phoneticPr fontId="9" type="noConversion"/>
  </si>
  <si>
    <r>
      <t>季度（营业总收入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营业成本）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营业总收入</t>
    </r>
    <phoneticPr fontId="9" type="noConversion"/>
  </si>
  <si>
    <t>gpoa</t>
    <phoneticPr fontId="9" type="noConversion"/>
  </si>
  <si>
    <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)/Mean(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)</t>
    </r>
    <phoneticPr fontId="9" type="noConversion"/>
  </si>
  <si>
    <t>intcov</t>
    <phoneticPr fontId="9" type="noConversion"/>
  </si>
  <si>
    <r>
      <t>-</t>
    </r>
    <r>
      <rPr>
        <sz val="10.5"/>
        <color theme="1"/>
        <rFont val="宋体"/>
        <family val="3"/>
        <charset val="134"/>
      </rPr>
      <t>财务费用</t>
    </r>
    <r>
      <rPr>
        <sz val="10.5"/>
        <color theme="1"/>
        <rFont val="Calibri"/>
        <family val="2"/>
      </rPr>
      <t>/EBIT</t>
    </r>
    <phoneticPr fontId="9" type="noConversion"/>
  </si>
  <si>
    <t>invt</t>
    <phoneticPr fontId="9" type="noConversion"/>
  </si>
  <si>
    <t>存货周转率=营业成本/平均存货余额</t>
    <phoneticPr fontId="9" type="noConversion"/>
  </si>
  <si>
    <t>invtd</t>
    <phoneticPr fontId="9" type="noConversion"/>
  </si>
  <si>
    <t>当期存货周转率-上期存货周转率，存货周转率=营业成本/平均存货余额</t>
    <phoneticPr fontId="9" type="noConversion"/>
  </si>
  <si>
    <t>knp2np_q</t>
    <phoneticPr fontId="9" type="noConversion"/>
  </si>
  <si>
    <r>
      <t>季度扣非净利润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净利润</t>
    </r>
    <phoneticPr fontId="9" type="noConversion"/>
  </si>
  <si>
    <r>
      <t>-(</t>
    </r>
    <r>
      <rPr>
        <sz val="10.5"/>
        <color theme="1"/>
        <rFont val="宋体"/>
        <family val="3"/>
        <charset val="134"/>
      </rPr>
      <t>短期借款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长期借款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少数股东权益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其他权益工具优先股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总资产</t>
    </r>
    <phoneticPr fontId="9" type="noConversion"/>
  </si>
  <si>
    <t>mginc3</t>
    <phoneticPr fontId="9" type="noConversion"/>
  </si>
  <si>
    <t>管理层最新的前三薪酬之和</t>
    <phoneticPr fontId="9" type="noConversion"/>
  </si>
  <si>
    <t>mgincome</t>
    <phoneticPr fontId="9" type="noConversion"/>
  </si>
  <si>
    <t>管理层最新的总薪酬</t>
    <phoneticPr fontId="9" type="noConversion"/>
  </si>
  <si>
    <t>mgshr</t>
    <phoneticPr fontId="9" type="noConversion"/>
  </si>
  <si>
    <t>管理层最新的总持股数量数据</t>
    <phoneticPr fontId="9" type="noConversion"/>
  </si>
  <si>
    <r>
      <t>9</t>
    </r>
    <r>
      <rPr>
        <sz val="10.5"/>
        <color theme="1"/>
        <rFont val="宋体"/>
        <family val="3"/>
        <charset val="134"/>
      </rPr>
      <t>项杠杆指标衡量破产概率</t>
    </r>
    <phoneticPr fontId="9" type="noConversion"/>
  </si>
  <si>
    <t>ocf2sale_q</t>
    <phoneticPr fontId="9" type="noConversion"/>
  </si>
  <si>
    <r>
      <t>季度经营性净现金流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营业收入</t>
    </r>
    <phoneticPr fontId="9" type="noConversion"/>
  </si>
  <si>
    <t>ocf2ta</t>
    <phoneticPr fontId="9" type="noConversion"/>
  </si>
  <si>
    <r>
      <t>经营性净现金流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有形资产</t>
    </r>
    <phoneticPr fontId="9" type="noConversion"/>
  </si>
  <si>
    <t>ocfa</t>
    <phoneticPr fontId="9" type="noConversion"/>
  </si>
  <si>
    <t>产能利用率提升=z_score(营业总成本)在z_score(固定资产)上滚动回归取最近一期残差，回归窗口8个季度</t>
    <phoneticPr fontId="9" type="noConversion"/>
  </si>
  <si>
    <t>op2tp_q</t>
    <phoneticPr fontId="9" type="noConversion"/>
  </si>
  <si>
    <r>
      <t>季度营业利润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总利润</t>
    </r>
    <phoneticPr fontId="9" type="noConversion"/>
  </si>
  <si>
    <t>pio</t>
    <phoneticPr fontId="9" type="noConversion"/>
  </si>
  <si>
    <r>
      <t>10</t>
    </r>
    <r>
      <rPr>
        <sz val="10.5"/>
        <color theme="1"/>
        <rFont val="宋体"/>
        <family val="3"/>
        <charset val="134"/>
      </rPr>
      <t>项财务指标综合打分，覆盖利润现金流杠杆</t>
    </r>
    <phoneticPr fontId="9" type="noConversion"/>
  </si>
  <si>
    <t>qr</t>
    <phoneticPr fontId="9" type="noConversion"/>
  </si>
  <si>
    <t>速动比率=(流动资产-存货-1年内到期的非流动资产-待摊费用-预付款)/流动负债</t>
    <phoneticPr fontId="9" type="noConversion"/>
  </si>
  <si>
    <t>qrd</t>
    <phoneticPr fontId="9" type="noConversion"/>
  </si>
  <si>
    <t>当期速动比率-上期速动比率，速动比率=(流动资产-存货-1年内到期的非流动资产-待摊费用-预付款)/流动负债</t>
    <phoneticPr fontId="9" type="noConversion"/>
  </si>
  <si>
    <t>rat</t>
    <phoneticPr fontId="9" type="noConversion"/>
  </si>
  <si>
    <t>应收周转率=营业收入/(应收账款+应收票据)</t>
    <phoneticPr fontId="9" type="noConversion"/>
  </si>
  <si>
    <t>ratd</t>
    <phoneticPr fontId="9" type="noConversion"/>
  </si>
  <si>
    <t>当期应收周转率-上期应收周转率，应收周转率=营业收入/(应收账款+应收票据)</t>
    <phoneticPr fontId="9" type="noConversion"/>
  </si>
  <si>
    <t>roa</t>
    <phoneticPr fontId="9" type="noConversion"/>
  </si>
  <si>
    <r>
      <t>（营业利润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财务费用）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总资产</t>
    </r>
    <phoneticPr fontId="9" type="noConversion"/>
  </si>
  <si>
    <t>roa_kf</t>
    <phoneticPr fontId="9" type="noConversion"/>
  </si>
  <si>
    <r>
      <t>扣非</t>
    </r>
    <r>
      <rPr>
        <sz val="10.5"/>
        <color theme="1"/>
        <rFont val="Calibri"/>
        <family val="2"/>
      </rPr>
      <t>roa=(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其他经营收益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平均总资产</t>
    </r>
    <phoneticPr fontId="9" type="noConversion"/>
  </si>
  <si>
    <t>roa_q</t>
    <phoneticPr fontId="9" type="noConversion"/>
  </si>
  <si>
    <r>
      <t>季度（营业利润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财务费用）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平均总资产</t>
    </r>
    <phoneticPr fontId="9" type="noConversion"/>
  </si>
  <si>
    <t>roe</t>
    <phoneticPr fontId="9" type="noConversion"/>
  </si>
  <si>
    <r>
      <t>归母公司净利润（</t>
    </r>
    <r>
      <rPr>
        <sz val="10.5"/>
        <color theme="1"/>
        <rFont val="Calibri"/>
        <family val="2"/>
      </rPr>
      <t>TTM)/</t>
    </r>
    <r>
      <rPr>
        <sz val="10.5"/>
        <color theme="1"/>
        <rFont val="宋体"/>
        <family val="3"/>
        <charset val="134"/>
      </rPr>
      <t>归母公司所有者权益</t>
    </r>
    <phoneticPr fontId="9" type="noConversion"/>
  </si>
  <si>
    <t>roe_kf</t>
    <phoneticPr fontId="9" type="noConversion"/>
  </si>
  <si>
    <r>
      <t>扣非</t>
    </r>
    <r>
      <rPr>
        <sz val="10.5"/>
        <color theme="1"/>
        <rFont val="Calibri"/>
        <family val="2"/>
      </rPr>
      <t>roe=(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其他经营收益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平均净资产</t>
    </r>
    <phoneticPr fontId="9" type="noConversion"/>
  </si>
  <si>
    <t>roe_q</t>
    <phoneticPr fontId="9" type="noConversion"/>
  </si>
  <si>
    <r>
      <t>季度净利润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股东权益</t>
    </r>
    <phoneticPr fontId="9" type="noConversion"/>
  </si>
  <si>
    <t>roic</t>
    <phoneticPr fontId="9" type="noConversion"/>
  </si>
  <si>
    <r>
      <t>(EBIT-TAX)/(</t>
    </r>
    <r>
      <rPr>
        <sz val="10.5"/>
        <color theme="1"/>
        <rFont val="宋体"/>
        <family val="3"/>
        <charset val="134"/>
      </rPr>
      <t>股东权益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有息负债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现金等价物</t>
    </r>
    <r>
      <rPr>
        <sz val="10.5"/>
        <color theme="1"/>
        <rFont val="Calibri"/>
        <family val="2"/>
      </rPr>
      <t>)</t>
    </r>
    <phoneticPr fontId="9" type="noConversion"/>
  </si>
  <si>
    <t>shn</t>
    <phoneticPr fontId="9" type="noConversion"/>
  </si>
  <si>
    <t>股东总数</t>
    <phoneticPr fontId="9" type="noConversion"/>
  </si>
  <si>
    <t>股东数量</t>
    <phoneticPr fontId="9" type="noConversion"/>
  </si>
  <si>
    <t>sthp</t>
    <phoneticPr fontId="9" type="noConversion"/>
  </si>
  <si>
    <r>
      <t>第</t>
    </r>
    <r>
      <rPr>
        <sz val="10.5"/>
        <color theme="1"/>
        <rFont val="Calibri"/>
        <family val="2"/>
      </rPr>
      <t>2-10</t>
    </r>
    <r>
      <rPr>
        <sz val="10.5"/>
        <color theme="1"/>
        <rFont val="宋体"/>
        <family val="3"/>
        <charset val="134"/>
      </rPr>
      <t>大股东持股比例</t>
    </r>
    <phoneticPr fontId="9" type="noConversion"/>
  </si>
  <si>
    <t>sugm</t>
    <phoneticPr fontId="9" type="noConversion"/>
  </si>
  <si>
    <r>
      <t>毛利率年度同比的</t>
    </r>
    <r>
      <rPr>
        <sz val="10.5"/>
        <color theme="1"/>
        <rFont val="Calibri"/>
        <family val="2"/>
      </rPr>
      <t>16</t>
    </r>
    <r>
      <rPr>
        <sz val="10.5"/>
        <color theme="1"/>
        <rFont val="宋体"/>
        <family val="3"/>
        <charset val="134"/>
      </rPr>
      <t>期</t>
    </r>
    <r>
      <rPr>
        <sz val="10.5"/>
        <color theme="1"/>
        <rFont val="Calibri"/>
        <family val="2"/>
      </rPr>
      <t>zscore</t>
    </r>
    <phoneticPr fontId="9" type="noConversion"/>
  </si>
  <si>
    <t>svol2a</t>
    <phoneticPr fontId="9" type="noConversion"/>
  </si>
  <si>
    <r>
      <t>营业收入波动率</t>
    </r>
    <r>
      <rPr>
        <sz val="10.5"/>
        <color theme="1"/>
        <rFont val="Calibri"/>
        <family val="2"/>
      </rPr>
      <t>=5</t>
    </r>
    <r>
      <rPr>
        <sz val="10.5"/>
        <color theme="1"/>
        <rFont val="宋体"/>
        <family val="3"/>
        <charset val="134"/>
      </rPr>
      <t>年营业收入波动率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平均总资产</t>
    </r>
    <phoneticPr fontId="9" type="noConversion"/>
  </si>
  <si>
    <t>tat</t>
    <phoneticPr fontId="9" type="noConversion"/>
  </si>
  <si>
    <t>总资产周转率=营业收入/总资产</t>
    <phoneticPr fontId="9" type="noConversion"/>
  </si>
  <si>
    <t>tatd</t>
    <phoneticPr fontId="9" type="noConversion"/>
  </si>
  <si>
    <t>当期总资产周转率-上期总资产周转率，总资产周转率=营业收入/总资产</t>
    <phoneticPr fontId="9" type="noConversion"/>
  </si>
  <si>
    <t>Z</t>
    <phoneticPr fontId="9" type="noConversion"/>
  </si>
  <si>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期末现金等价物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未分配利润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总利润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总资产</t>
    </r>
    <phoneticPr fontId="9" type="noConversion"/>
  </si>
  <si>
    <t>smarg</t>
    <phoneticPr fontId="9" type="noConversion"/>
  </si>
  <si>
    <t>sue</t>
    <phoneticPr fontId="9" type="noConversion"/>
  </si>
  <si>
    <t>suoi</t>
    <phoneticPr fontId="9" type="noConversion"/>
  </si>
  <si>
    <t>suoi=Z_SCORE(季度(总营业收入-总营业成本), 最近8个季度）</t>
    <phoneticPr fontId="9" type="noConversion"/>
  </si>
  <si>
    <t>supad</t>
    <phoneticPr fontId="9" type="noConversion"/>
  </si>
  <si>
    <t>预收账款adv_from_cust/平均总资产，再求z_score</t>
    <phoneticPr fontId="9" type="noConversion"/>
  </si>
  <si>
    <t>sus</t>
    <phoneticPr fontId="9" type="noConversion"/>
  </si>
  <si>
    <t>sue=Z_SCORE(年度同比变化(季度(营业收入)), 最近8个季度）</t>
    <phoneticPr fontId="9" type="noConversion"/>
  </si>
  <si>
    <t>egro3</t>
    <phoneticPr fontId="9" type="noConversion"/>
  </si>
  <si>
    <t>egro5</t>
    <phoneticPr fontId="9" type="noConversion"/>
  </si>
  <si>
    <t>年报每股净利润对时间的回归系数除以平均净利润绝对值,对因变量进行3倍中位数调整</t>
    <phoneticPr fontId="9" type="noConversion"/>
  </si>
  <si>
    <t>ffretn</t>
    <phoneticPr fontId="9" type="noConversion"/>
  </si>
  <si>
    <r>
      <rPr>
        <sz val="10.5"/>
        <rFont val="宋体"/>
        <family val="3"/>
        <charset val="134"/>
      </rPr>
      <t>在财报公布日前</t>
    </r>
    <r>
      <rPr>
        <sz val="10.5"/>
        <rFont val="Calibri"/>
        <family val="2"/>
      </rPr>
      <t>2</t>
    </r>
    <r>
      <rPr>
        <sz val="10.5"/>
        <rFont val="宋体"/>
        <family val="3"/>
        <charset val="134"/>
      </rPr>
      <t>日到后一日，股票相对市场</t>
    </r>
    <r>
      <rPr>
        <sz val="10.5"/>
        <rFont val="Calibri"/>
        <family val="2"/>
      </rPr>
      <t>(</t>
    </r>
    <r>
      <rPr>
        <sz val="10.5"/>
        <rFont val="宋体"/>
        <family val="3"/>
        <charset val="134"/>
      </rPr>
      <t>二级行业</t>
    </r>
    <r>
      <rPr>
        <sz val="10.5"/>
        <rFont val="Calibri"/>
        <family val="2"/>
      </rPr>
      <t>)</t>
    </r>
    <r>
      <rPr>
        <sz val="10.5"/>
        <rFont val="宋体"/>
        <family val="3"/>
        <charset val="134"/>
      </rPr>
      <t>的特定回报</t>
    </r>
    <r>
      <rPr>
        <sz val="10.5"/>
        <rFont val="Calibri"/>
        <family val="2"/>
      </rPr>
      <t>,</t>
    </r>
    <r>
      <rPr>
        <sz val="10.5"/>
        <rFont val="宋体"/>
        <family val="3"/>
        <charset val="134"/>
      </rPr>
      <t>若是非交易日转到后</t>
    </r>
    <r>
      <rPr>
        <sz val="10.5"/>
        <rFont val="Calibri"/>
        <family val="2"/>
      </rPr>
      <t>1</t>
    </r>
    <r>
      <rPr>
        <sz val="10.5"/>
        <rFont val="宋体"/>
        <family val="3"/>
        <charset val="134"/>
      </rPr>
      <t>个交易日，都是</t>
    </r>
    <r>
      <rPr>
        <sz val="10.5"/>
        <rFont val="Calibri"/>
        <family val="2"/>
      </rPr>
      <t>4</t>
    </r>
    <r>
      <rPr>
        <sz val="10.5"/>
        <rFont val="宋体"/>
        <family val="3"/>
        <charset val="134"/>
      </rPr>
      <t>个交易日，</t>
    </r>
    <phoneticPr fontId="9" type="noConversion"/>
  </si>
  <si>
    <t>ffretnind1</t>
    <phoneticPr fontId="9" type="noConversion"/>
  </si>
  <si>
    <t>同ffretn,相对一级行业</t>
    <phoneticPr fontId="9" type="noConversion"/>
  </si>
  <si>
    <t>滚动一致预期净利润同比增长率</t>
    <phoneticPr fontId="5" type="noConversion"/>
  </si>
  <si>
    <t>con_np_yoy_roll</t>
    <phoneticPr fontId="9" type="noConversion"/>
  </si>
  <si>
    <t>con_forcast</t>
  </si>
  <si>
    <t>con_npcgrate_2y_roll</t>
    <phoneticPr fontId="9" type="noConversion"/>
  </si>
  <si>
    <t>con_or_yoy_roll</t>
    <phoneticPr fontId="9" type="noConversion"/>
  </si>
  <si>
    <t>con_peg_roll</t>
    <phoneticPr fontId="9" type="noConversion"/>
  </si>
  <si>
    <t>da2a</t>
    <phoneticPr fontId="9" type="noConversion"/>
  </si>
  <si>
    <t>(最新报告期总资产-上季度总资产)/上季度总资产</t>
    <phoneticPr fontId="9" type="noConversion"/>
  </si>
  <si>
    <r>
      <rPr>
        <sz val="10.5"/>
        <color theme="1"/>
        <rFont val="宋体"/>
        <family val="3"/>
        <charset val="134"/>
      </rPr>
      <t>（最新报告期总资产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去年总资产）</t>
    </r>
    <r>
      <rPr>
        <sz val="10.5"/>
        <color theme="1"/>
        <rFont val="Calibri"/>
        <family val="2"/>
      </rPr>
      <t>/EV</t>
    </r>
    <phoneticPr fontId="9" type="noConversion"/>
  </si>
  <si>
    <t>da2ev</t>
    <phoneticPr fontId="9" type="noConversion"/>
  </si>
  <si>
    <t>（净利润TTM-去年同期净利润TTM)/abs(去年同期净利润TTM))，净利润字段为净利润不含少数股东损益（TTM）</t>
    <phoneticPr fontId="9" type="noConversion"/>
  </si>
  <si>
    <r>
      <rPr>
        <sz val="10.5"/>
        <color theme="1"/>
        <rFont val="宋体"/>
        <family val="3"/>
        <charset val="134"/>
      </rPr>
      <t>（季度净利润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上年同期季度净利润）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最新总市值，净利润为净利润不含少数股东损益数据（季度</t>
    </r>
    <r>
      <rPr>
        <sz val="10.5"/>
        <color theme="1"/>
        <rFont val="Calibri"/>
        <family val="2"/>
      </rPr>
      <t>)</t>
    </r>
    <phoneticPr fontId="9" type="noConversion"/>
  </si>
  <si>
    <t>de2e</t>
    <phoneticPr fontId="9" type="noConversion"/>
  </si>
  <si>
    <t>de2p</t>
    <phoneticPr fontId="9" type="noConversion"/>
  </si>
  <si>
    <r>
      <rPr>
        <sz val="10.5"/>
        <color theme="1"/>
        <rFont val="宋体"/>
        <family val="3"/>
        <charset val="134"/>
      </rPr>
      <t>（最新报告期季度营业收入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上年同期季度营业收入）</t>
    </r>
    <r>
      <rPr>
        <sz val="10.5"/>
        <color theme="1"/>
        <rFont val="Calibri"/>
        <family val="2"/>
      </rPr>
      <t>/EV</t>
    </r>
    <phoneticPr fontId="9" type="noConversion"/>
  </si>
  <si>
    <t>ds2ev</t>
    <phoneticPr fontId="9" type="noConversion"/>
  </si>
  <si>
    <r>
      <rPr>
        <sz val="10.5"/>
        <color theme="1"/>
        <rFont val="宋体"/>
        <family val="3"/>
        <charset val="134"/>
      </rPr>
      <t>（营业收入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去年同期营业收入）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最新总市值</t>
    </r>
    <phoneticPr fontId="9" type="noConversion"/>
  </si>
  <si>
    <t>ds2p</t>
    <phoneticPr fontId="9" type="noConversion"/>
  </si>
  <si>
    <r>
      <rPr>
        <sz val="10.5"/>
        <color theme="1"/>
        <rFont val="宋体"/>
        <family val="3"/>
        <charset val="134"/>
      </rPr>
      <t>（最新报告期季度营业收入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上年同期季度营业收入）</t>
    </r>
    <r>
      <rPr>
        <sz val="10.5"/>
        <color theme="1"/>
        <rFont val="Calibri"/>
        <family val="2"/>
      </rPr>
      <t>/ABS</t>
    </r>
    <r>
      <rPr>
        <sz val="10.5"/>
        <color theme="1"/>
        <rFont val="宋体"/>
        <family val="3"/>
        <charset val="134"/>
      </rPr>
      <t>（上年同期季度营业收入）</t>
    </r>
    <phoneticPr fontId="9" type="noConversion"/>
  </si>
  <si>
    <t>ds2s</t>
    <phoneticPr fontId="9" type="noConversion"/>
  </si>
  <si>
    <t>egibs</t>
    <phoneticPr fontId="9" type="noConversion"/>
  </si>
  <si>
    <t>(明年一致预期净利润均值-当年一致预期净利润均值)/abs(当年一致预期净利润均值)</t>
    <phoneticPr fontId="9" type="noConversion"/>
  </si>
  <si>
    <t>nde2p</t>
  </si>
  <si>
    <t>ne2e_q</t>
  </si>
  <si>
    <r>
      <rPr>
        <sz val="10.5"/>
        <color theme="1"/>
        <rFont val="宋体"/>
        <family val="3"/>
        <charset val="134"/>
      </rPr>
      <t>过去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年净利润回归计算得到的增长率</t>
    </r>
    <phoneticPr fontId="9" type="noConversion"/>
  </si>
  <si>
    <t>egro3</t>
    <phoneticPr fontId="9" type="noConversion"/>
  </si>
  <si>
    <t>egro5</t>
    <phoneticPr fontId="9" type="noConversion"/>
  </si>
  <si>
    <r>
      <t>eps_ttm</t>
    </r>
    <r>
      <rPr>
        <sz val="10.5"/>
        <color theme="1"/>
        <rFont val="宋体"/>
        <family val="3"/>
        <charset val="134"/>
      </rPr>
      <t>同比。</t>
    </r>
    <r>
      <rPr>
        <sz val="10.5"/>
        <color theme="1"/>
        <rFont val="Calibri"/>
        <family val="2"/>
      </rPr>
      <t>NetProfit_ttm/TotalShr-L1Y_NetProfit_ttm/L1Y_TotalShr</t>
    </r>
    <r>
      <rPr>
        <sz val="10.5"/>
        <color theme="1"/>
        <rFont val="宋体"/>
        <family val="3"/>
        <charset val="134"/>
      </rPr>
      <t>。删除掉一年间股本扩大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倍以上的</t>
    </r>
    <phoneticPr fontId="9" type="noConversion"/>
  </si>
  <si>
    <t>epsg_ttm</t>
    <phoneticPr fontId="9" type="noConversion"/>
  </si>
  <si>
    <t>未生成信号</t>
    <phoneticPr fontId="9" type="noConversion"/>
  </si>
  <si>
    <t>fes1</t>
    <phoneticPr fontId="9" type="noConversion"/>
  </si>
  <si>
    <t>fes2</t>
    <phoneticPr fontId="9" type="noConversion"/>
  </si>
  <si>
    <t>ffretn</t>
    <phoneticPr fontId="9" type="noConversion"/>
  </si>
  <si>
    <t>fg1</t>
    <phoneticPr fontId="9" type="noConversion"/>
  </si>
  <si>
    <t>fg2</t>
    <phoneticPr fontId="9" type="noConversion"/>
  </si>
  <si>
    <t>fg3</t>
    <phoneticPr fontId="9" type="noConversion"/>
  </si>
  <si>
    <r>
      <rPr>
        <sz val="10.5"/>
        <color theme="1"/>
        <rFont val="宋体"/>
        <family val="3"/>
        <charset val="134"/>
      </rPr>
      <t>（每股季度扣非净利润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去年同期每股季度扣非净利润）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每股总资产</t>
    </r>
    <phoneticPr fontId="9" type="noConversion"/>
  </si>
  <si>
    <t>kfes1</t>
    <phoneticPr fontId="9" type="noConversion"/>
  </si>
  <si>
    <t>逻辑可能有问题？和qdroa的区别？</t>
    <phoneticPr fontId="9" type="noConversion"/>
  </si>
  <si>
    <t>kqdroa</t>
    <phoneticPr fontId="9" type="noConversion"/>
  </si>
  <si>
    <t>kqdroe</t>
    <phoneticPr fontId="9" type="noConversion"/>
  </si>
  <si>
    <t>mom1_con_pb_roll</t>
    <phoneticPr fontId="9" type="noConversion"/>
  </si>
  <si>
    <t>mom1_con_pe_roll</t>
    <phoneticPr fontId="9" type="noConversion"/>
  </si>
  <si>
    <t>mom1_con_ps_roll</t>
    <phoneticPr fontId="9" type="noConversion"/>
  </si>
  <si>
    <t>mom3_con_pb_roll</t>
    <phoneticPr fontId="9" type="noConversion"/>
  </si>
  <si>
    <t>mom3_con_pe_roll</t>
    <phoneticPr fontId="9" type="noConversion"/>
  </si>
  <si>
    <t>mom3_con_ps_roll</t>
    <phoneticPr fontId="9" type="noConversion"/>
  </si>
  <si>
    <t>mom_con_forcast</t>
  </si>
  <si>
    <r>
      <rPr>
        <sz val="10.5"/>
        <color theme="1"/>
        <rFont val="宋体"/>
        <family val="3"/>
        <charset val="134"/>
      </rPr>
      <t>（净利润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上年同期净利润）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总市值，净利润为归属于母公司的净利润的季度化数据，使用了快报和预告数据。</t>
    </r>
    <phoneticPr fontId="9" type="noConversion"/>
  </si>
  <si>
    <r>
      <rPr>
        <sz val="10.5"/>
        <color theme="1"/>
        <rFont val="宋体"/>
        <family val="3"/>
        <charset val="134"/>
      </rPr>
      <t>营业收入同比变化</t>
    </r>
    <r>
      <rPr>
        <sz val="10.5"/>
        <color theme="1"/>
        <rFont val="Calibri"/>
        <family val="2"/>
      </rPr>
      <t>/EV</t>
    </r>
    <r>
      <rPr>
        <sz val="10.5"/>
        <color theme="1"/>
        <rFont val="宋体"/>
        <family val="3"/>
        <charset val="134"/>
      </rPr>
      <t>，使用了快报和预告数据</t>
    </r>
    <phoneticPr fontId="9" type="noConversion"/>
  </si>
  <si>
    <t>单季度净利润增长率，使用了预告快报信息</t>
    <phoneticPr fontId="9" type="noConversion"/>
  </si>
  <si>
    <t>ne2e_q</t>
    <phoneticPr fontId="9" type="noConversion"/>
  </si>
  <si>
    <r>
      <rPr>
        <sz val="10.5"/>
        <color theme="1"/>
        <rFont val="宋体"/>
        <family val="3"/>
        <charset val="134"/>
      </rPr>
      <t>净利润同比变化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总资产，总资产使用年报数据。净利润如果有快报或者预告数据，则优先使用该数据。</t>
    </r>
    <r>
      <rPr>
        <sz val="10.5"/>
        <color theme="1"/>
        <rFont val="Calibri"/>
        <family val="2"/>
      </rPr>
      <t/>
    </r>
    <phoneticPr fontId="9" type="noConversion"/>
  </si>
  <si>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>ttm</t>
    </r>
    <r>
      <rPr>
        <sz val="10.5"/>
        <color theme="1"/>
        <rFont val="宋体"/>
        <family val="3"/>
        <charset val="134"/>
      </rPr>
      <t>同比增长，分母最小为</t>
    </r>
    <r>
      <rPr>
        <sz val="10.5"/>
        <color theme="1"/>
        <rFont val="Calibri"/>
        <family val="2"/>
      </rPr>
      <t>1000</t>
    </r>
    <r>
      <rPr>
        <sz val="10.5"/>
        <color theme="1"/>
        <rFont val="宋体"/>
        <family val="3"/>
        <charset val="134"/>
      </rPr>
      <t>万。</t>
    </r>
    <phoneticPr fontId="9" type="noConversion"/>
  </si>
  <si>
    <r>
      <rPr>
        <sz val="10.5"/>
        <color theme="1"/>
        <rFont val="宋体"/>
        <family val="3"/>
        <charset val="134"/>
      </rPr>
      <t>季度净利润同比增长，分母最小为</t>
    </r>
    <r>
      <rPr>
        <sz val="10.5"/>
        <color theme="1"/>
        <rFont val="Calibri"/>
        <family val="2"/>
      </rPr>
      <t>1000</t>
    </r>
    <r>
      <rPr>
        <sz val="10.5"/>
        <color theme="1"/>
        <rFont val="宋体"/>
        <family val="3"/>
        <charset val="134"/>
      </rPr>
      <t>万。</t>
    </r>
    <phoneticPr fontId="9" type="noConversion"/>
  </si>
  <si>
    <t>npg_q</t>
    <phoneticPr fontId="9" type="noConversion"/>
  </si>
  <si>
    <t>未生成</t>
    <phoneticPr fontId="9" type="noConversion"/>
  </si>
  <si>
    <t>nfes1</t>
    <phoneticPr fontId="9" type="noConversion"/>
  </si>
  <si>
    <t>reg_con_np</t>
  </si>
  <si>
    <t>sup_con_np_yg</t>
  </si>
  <si>
    <t>npeg</t>
    <phoneticPr fontId="9" type="noConversion"/>
  </si>
  <si>
    <t>qcsg</t>
    <phoneticPr fontId="9" type="noConversion"/>
  </si>
  <si>
    <t>qdroa</t>
    <phoneticPr fontId="9" type="noConversion"/>
  </si>
  <si>
    <t>qdroe</t>
    <phoneticPr fontId="9" type="noConversion"/>
  </si>
  <si>
    <t>nqcsg</t>
    <phoneticPr fontId="9" type="noConversion"/>
  </si>
  <si>
    <r>
      <t>q</t>
    </r>
    <r>
      <rPr>
        <sz val="10.5"/>
        <color theme="1"/>
        <rFont val="宋体"/>
        <family val="3"/>
        <charset val="134"/>
      </rPr>
      <t>，因为预告公布的是营业总收入，这里使用营业总收入。使用了快报和预告数据</t>
    </r>
    <phoneticPr fontId="9" type="noConversion"/>
  </si>
  <si>
    <t>nqdroe</t>
    <phoneticPr fontId="9" type="noConversion"/>
  </si>
  <si>
    <r>
      <rPr>
        <sz val="10.5"/>
        <color theme="1"/>
        <rFont val="宋体"/>
        <family val="3"/>
        <charset val="134"/>
      </rPr>
      <t>注意有可能股东权益还没公布（如预告），此时</t>
    </r>
    <r>
      <rPr>
        <sz val="10.5"/>
        <color theme="1"/>
        <rFont val="Calibri"/>
        <family val="2"/>
      </rPr>
      <t>na.rm=T</t>
    </r>
    <r>
      <rPr>
        <sz val="10.5"/>
        <color theme="1"/>
        <rFont val="宋体"/>
        <family val="3"/>
        <charset val="134"/>
      </rPr>
      <t>。使用了快报和预告数据</t>
    </r>
    <phoneticPr fontId="9" type="noConversion"/>
  </si>
  <si>
    <t>pegl</t>
    <phoneticPr fontId="9" type="noConversion"/>
  </si>
  <si>
    <t>pegs</t>
    <phoneticPr fontId="9" type="noConversion"/>
  </si>
  <si>
    <t>qe_stb</t>
    <phoneticPr fontId="9" type="noConversion"/>
  </si>
  <si>
    <t>qop_acc</t>
    <phoneticPr fontId="9" type="noConversion"/>
  </si>
  <si>
    <t>qop_dsd</t>
    <phoneticPr fontId="9" type="noConversion"/>
  </si>
  <si>
    <t>qop_stb</t>
    <phoneticPr fontId="9" type="noConversion"/>
  </si>
  <si>
    <t>qor_acc</t>
    <phoneticPr fontId="9" type="noConversion"/>
  </si>
  <si>
    <t>qor_dsd</t>
    <phoneticPr fontId="9" type="noConversion"/>
  </si>
  <si>
    <t>q_or_stb</t>
    <phoneticPr fontId="9" type="noConversion"/>
  </si>
  <si>
    <t>重新生成，未中性化</t>
    <phoneticPr fontId="9" type="noConversion"/>
  </si>
  <si>
    <t>opg_q</t>
    <phoneticPr fontId="9" type="noConversion"/>
  </si>
  <si>
    <r>
      <rPr>
        <sz val="10.5"/>
        <color theme="1"/>
        <rFont val="宋体"/>
        <family val="3"/>
        <charset val="134"/>
      </rPr>
      <t>（季度营业利润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上年同期季度营业利润）</t>
    </r>
    <r>
      <rPr>
        <sz val="10.5"/>
        <color theme="1"/>
        <rFont val="Calibri"/>
        <family val="2"/>
      </rPr>
      <t>/abs(</t>
    </r>
    <r>
      <rPr>
        <sz val="10.5"/>
        <color theme="1"/>
        <rFont val="宋体"/>
        <family val="3"/>
        <charset val="134"/>
      </rPr>
      <t>上年统计季度营业利润）</t>
    </r>
    <phoneticPr fontId="9" type="noConversion"/>
  </si>
  <si>
    <r>
      <t>qcsg=((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)-</t>
    </r>
    <r>
      <rPr>
        <sz val="10.5"/>
        <color theme="1"/>
        <rFont val="宋体"/>
        <family val="3"/>
        <charset val="134"/>
      </rPr>
      <t>去年同期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)))/abs(</t>
    </r>
    <r>
      <rPr>
        <sz val="10.5"/>
        <color theme="1"/>
        <rFont val="宋体"/>
        <family val="3"/>
        <charset val="134"/>
      </rPr>
      <t>去年同期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)))</t>
    </r>
    <r>
      <rPr>
        <sz val="10.5"/>
        <color theme="1"/>
        <rFont val="宋体"/>
        <family val="3"/>
        <charset val="134"/>
      </rPr>
      <t>，相当于</t>
    </r>
    <r>
      <rPr>
        <sz val="10.5"/>
        <color theme="1"/>
        <rFont val="Calibri"/>
        <family val="2"/>
      </rPr>
      <t>org_q</t>
    </r>
    <phoneticPr fontId="9" type="noConversion"/>
  </si>
  <si>
    <r>
      <t>roa=(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)+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财务费用</t>
    </r>
    <r>
      <rPr>
        <sz val="10.5"/>
        <color theme="1"/>
        <rFont val="Calibri"/>
        <family val="2"/>
      </rPr>
      <t>))/</t>
    </r>
    <r>
      <rPr>
        <sz val="10.5"/>
        <color theme="1"/>
        <rFont val="宋体"/>
        <family val="3"/>
        <charset val="134"/>
      </rPr>
      <t>两季度平均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)
qdroa=YearDelta(roa)</t>
    </r>
    <phoneticPr fontId="9" type="noConversion"/>
  </si>
  <si>
    <r>
      <t>roe=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归母净利润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两季度平均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归母所有者权益</t>
    </r>
    <r>
      <rPr>
        <sz val="10.5"/>
        <color theme="1"/>
        <rFont val="Calibri"/>
        <family val="2"/>
      </rPr>
      <t>)
qdroe=YearDelta(roe)</t>
    </r>
    <phoneticPr fontId="9" type="noConversion"/>
  </si>
  <si>
    <r>
      <rPr>
        <sz val="10.5"/>
        <color theme="1"/>
        <rFont val="宋体"/>
        <family val="3"/>
        <charset val="134"/>
      </rPr>
      <t>同</t>
    </r>
    <r>
      <rPr>
        <sz val="10.5"/>
        <color theme="1"/>
        <rFont val="Calibri"/>
        <family val="2"/>
      </rPr>
      <t>reg_con_np</t>
    </r>
    <r>
      <rPr>
        <sz val="10.5"/>
        <color theme="1"/>
        <rFont val="宋体"/>
        <family val="3"/>
        <charset val="134"/>
      </rPr>
      <t>，分母最小</t>
    </r>
    <r>
      <rPr>
        <sz val="10.5"/>
        <color theme="1"/>
        <rFont val="Calibri"/>
        <family val="2"/>
      </rPr>
      <t>5000</t>
    </r>
    <r>
      <rPr>
        <sz val="10.5"/>
        <color theme="1"/>
        <rFont val="宋体"/>
        <family val="3"/>
        <charset val="134"/>
      </rPr>
      <t>万</t>
    </r>
    <phoneticPr fontId="9" type="noConversion"/>
  </si>
  <si>
    <t>reg_con_np</t>
    <phoneticPr fontId="9" type="noConversion"/>
  </si>
  <si>
    <t>roeg_ttm</t>
    <phoneticPr fontId="9" type="noConversion"/>
  </si>
  <si>
    <r>
      <t>roe=TTM(</t>
    </r>
    <r>
      <rPr>
        <sz val="10.5"/>
        <color theme="1"/>
        <rFont val="宋体"/>
        <family val="3"/>
        <charset val="134"/>
      </rPr>
      <t>归母净利润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两年平均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归母所有者权益</t>
    </r>
    <r>
      <rPr>
        <sz val="10.5"/>
        <color theme="1"/>
        <rFont val="Calibri"/>
        <family val="2"/>
      </rPr>
      <t>)
roeg_ttm=YearDelta(roe)</t>
    </r>
    <phoneticPr fontId="9" type="noConversion"/>
  </si>
  <si>
    <t>cne5_factors</t>
    <phoneticPr fontId="9" type="noConversion"/>
  </si>
  <si>
    <t>rpegl</t>
    <phoneticPr fontId="9" type="noConversion"/>
  </si>
  <si>
    <t>rpegs</t>
    <phoneticPr fontId="9" type="noConversion"/>
  </si>
  <si>
    <t>sgro3</t>
    <phoneticPr fontId="9" type="noConversion"/>
  </si>
  <si>
    <t>sgro5</t>
    <phoneticPr fontId="9" type="noConversion"/>
  </si>
  <si>
    <t>smarg</t>
    <phoneticPr fontId="9" type="noConversion"/>
  </si>
  <si>
    <r>
      <t>arg=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)-</t>
    </r>
    <r>
      <rPr>
        <sz val="10.5"/>
        <color theme="1"/>
        <rFont val="宋体"/>
        <family val="3"/>
        <charset val="134"/>
      </rPr>
      <t>季度变化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应收账款</t>
    </r>
    <r>
      <rPr>
        <sz val="10.5"/>
        <color theme="1"/>
        <rFont val="Calibri"/>
        <family val="2"/>
      </rPr>
      <t>)
smarg=Z_SCORE(</t>
    </r>
    <r>
      <rPr>
        <sz val="10.5"/>
        <color theme="1"/>
        <rFont val="宋体"/>
        <family val="3"/>
        <charset val="134"/>
      </rPr>
      <t>年度同比变化率</t>
    </r>
    <r>
      <rPr>
        <sz val="10.5"/>
        <color theme="1"/>
        <rFont val="Calibri"/>
        <family val="2"/>
      </rPr>
      <t xml:space="preserve">(arg), </t>
    </r>
    <r>
      <rPr>
        <sz val="10.5"/>
        <color theme="1"/>
        <rFont val="宋体"/>
        <family val="3"/>
        <charset val="134"/>
      </rPr>
      <t>最近</t>
    </r>
    <r>
      <rPr>
        <sz val="10.5"/>
        <color theme="1"/>
        <rFont val="Calibri"/>
        <family val="2"/>
      </rPr>
      <t>16</t>
    </r>
    <r>
      <rPr>
        <sz val="10.5"/>
        <color theme="1"/>
        <rFont val="宋体"/>
        <family val="3"/>
        <charset val="134"/>
      </rPr>
      <t>个季度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 xml:space="preserve">。
</t>
    </r>
    <r>
      <rPr>
        <sz val="10.5"/>
        <color theme="1"/>
        <rFont val="Calibri"/>
        <family val="2"/>
      </rPr>
      <t>sg=sales-</t>
    </r>
    <r>
      <rPr>
        <sz val="10.5"/>
        <color theme="1"/>
        <rFont val="宋体"/>
        <family val="3"/>
        <charset val="134"/>
      </rPr>
      <t>应收账款（单季度数据，</t>
    </r>
    <r>
      <rPr>
        <sz val="10.5"/>
        <color theme="1"/>
        <rFont val="Calibri"/>
        <family val="2"/>
      </rPr>
      <t>bs</t>
    </r>
    <r>
      <rPr>
        <sz val="10.5"/>
        <color theme="1"/>
        <rFont val="宋体"/>
        <family val="3"/>
        <charset val="134"/>
      </rPr>
      <t>），求</t>
    </r>
    <r>
      <rPr>
        <sz val="10.5"/>
        <color theme="1"/>
        <rFont val="Calibri"/>
        <family val="2"/>
      </rPr>
      <t>sg</t>
    </r>
    <r>
      <rPr>
        <sz val="10.5"/>
        <color theme="1"/>
        <rFont val="宋体"/>
        <family val="3"/>
        <charset val="134"/>
      </rPr>
      <t>单季同比，再求同比的</t>
    </r>
    <r>
      <rPr>
        <sz val="10.5"/>
        <color theme="1"/>
        <rFont val="Calibri"/>
        <family val="2"/>
      </rPr>
      <t>z_score.(</t>
    </r>
    <r>
      <rPr>
        <sz val="10.5"/>
        <color theme="1"/>
        <rFont val="宋体"/>
        <family val="3"/>
        <charset val="134"/>
      </rPr>
      <t>数据长度：</t>
    </r>
    <r>
      <rPr>
        <sz val="10.5"/>
        <color theme="1"/>
        <rFont val="Calibri"/>
        <family val="2"/>
      </rPr>
      <t>16</t>
    </r>
    <r>
      <rPr>
        <sz val="10.5"/>
        <color theme="1"/>
        <rFont val="宋体"/>
        <family val="3"/>
        <charset val="134"/>
      </rPr>
      <t>个季度）</t>
    </r>
    <r>
      <rPr>
        <sz val="10.5"/>
        <color theme="1"/>
        <rFont val="Calibri"/>
        <family val="2"/>
      </rPr>
      <t>,</t>
    </r>
    <r>
      <rPr>
        <sz val="10.5"/>
        <color theme="1"/>
        <rFont val="宋体"/>
        <family val="3"/>
        <charset val="134"/>
      </rPr>
      <t>历史相对现金收入变化，</t>
    </r>
    <r>
      <rPr>
        <sz val="10.5"/>
        <color theme="1"/>
        <rFont val="Calibri"/>
        <family val="2"/>
      </rPr>
      <t>oper_rev-</t>
    </r>
    <r>
      <rPr>
        <sz val="10.5"/>
        <color theme="1"/>
        <rFont val="宋体"/>
        <family val="3"/>
        <charset val="134"/>
      </rPr>
      <t>当季</t>
    </r>
    <r>
      <rPr>
        <sz val="10.5"/>
        <color theme="1"/>
        <rFont val="Calibri"/>
        <family val="2"/>
      </rPr>
      <t>acct_rcv</t>
    </r>
    <phoneticPr fontId="9" type="noConversion"/>
  </si>
  <si>
    <r>
      <t>sue=Z_SCORE(</t>
    </r>
    <r>
      <rPr>
        <sz val="10.5"/>
        <color theme="1"/>
        <rFont val="宋体"/>
        <family val="3"/>
        <charset val="134"/>
      </rPr>
      <t>年度同比变化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 xml:space="preserve">)), </t>
    </r>
    <r>
      <rPr>
        <sz val="10.5"/>
        <color theme="1"/>
        <rFont val="宋体"/>
        <family val="3"/>
        <charset val="134"/>
      </rPr>
      <t>最近</t>
    </r>
    <r>
      <rPr>
        <sz val="10.5"/>
        <color theme="1"/>
        <rFont val="Calibri"/>
        <family val="2"/>
      </rPr>
      <t>8</t>
    </r>
    <r>
      <rPr>
        <sz val="10.5"/>
        <color theme="1"/>
        <rFont val="宋体"/>
        <family val="3"/>
        <charset val="134"/>
      </rPr>
      <t>个季度）。历史季度盈利惊喜</t>
    </r>
    <r>
      <rPr>
        <sz val="10.5"/>
        <color theme="1"/>
        <rFont val="Calibri"/>
        <family val="2"/>
      </rPr>
      <t>,z_score(</t>
    </r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上年同期净利润）（用过去</t>
    </r>
    <r>
      <rPr>
        <sz val="10.5"/>
        <color theme="1"/>
        <rFont val="Calibri"/>
        <family val="2"/>
      </rPr>
      <t>8</t>
    </r>
    <r>
      <rPr>
        <sz val="10.5"/>
        <color theme="1"/>
        <rFont val="宋体"/>
        <family val="3"/>
        <charset val="134"/>
      </rPr>
      <t>个季度数据估算）</t>
    </r>
    <r>
      <rPr>
        <sz val="10.5"/>
        <color theme="1"/>
        <rFont val="Calibri"/>
        <family val="2"/>
      </rPr>
      <t>,</t>
    </r>
    <r>
      <rPr>
        <sz val="10.5"/>
        <color theme="1"/>
        <rFont val="宋体"/>
        <family val="3"/>
        <charset val="134"/>
      </rPr>
      <t>金融企业没有数据？</t>
    </r>
    <phoneticPr fontId="9" type="noConversion"/>
  </si>
  <si>
    <t>sue</t>
    <phoneticPr fontId="9" type="noConversion"/>
  </si>
  <si>
    <t>suoi</t>
    <phoneticPr fontId="9" type="noConversion"/>
  </si>
  <si>
    <t>sup_con_np</t>
    <phoneticPr fontId="9" type="noConversion"/>
  </si>
  <si>
    <t>sup_con_np_yg</t>
    <phoneticPr fontId="9" type="noConversion"/>
  </si>
  <si>
    <t>定期报告（含预告和快报）相对分析师预测数据的增长</t>
    <phoneticPr fontId="9" type="noConversion"/>
  </si>
  <si>
    <t>定期报告（不含预告和快报）相对分析师预测数据的增长</t>
    <phoneticPr fontId="9" type="noConversion"/>
  </si>
  <si>
    <t>finpattern</t>
    <phoneticPr fontId="9" type="noConversion"/>
  </si>
  <si>
    <r>
      <t>Delta(X)/Y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Calibri"/>
        <family val="2"/>
      </rPr>
      <t>Delta(</t>
    </r>
    <r>
      <rPr>
        <sz val="10.5"/>
        <color theme="1"/>
        <rFont val="宋体"/>
        <family val="3"/>
        <charset val="134"/>
      </rPr>
      <t>预收款项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无形资产。</t>
    </r>
    <r>
      <rPr>
        <sz val="10.5"/>
        <color theme="1"/>
        <rFont val="Calibri"/>
        <family val="2"/>
      </rPr>
      <t>adv_from_custXXXintang_assets</t>
    </r>
    <phoneticPr fontId="9" type="noConversion"/>
  </si>
  <si>
    <r>
      <t>Delta(X)-Delta(Y)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Calibri"/>
        <family val="2"/>
      </rPr>
      <t>Delta(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不含少数股东损益</t>
    </r>
    <r>
      <rPr>
        <sz val="10.5"/>
        <color theme="1"/>
        <rFont val="Calibri"/>
        <family val="2"/>
      </rPr>
      <t>)))-Delta(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支付给职工以及为职工支付的现金</t>
    </r>
    <r>
      <rPr>
        <sz val="10.5"/>
        <color theme="1"/>
        <rFont val="Calibri"/>
        <family val="2"/>
      </rPr>
      <t>))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net_profit_excl_min_int_inc_q_rXXXcash_pay_beh_empl_q_r</t>
    </r>
    <phoneticPr fontId="9" type="noConversion"/>
  </si>
  <si>
    <r>
      <t>Delta(X)-Delta(Y)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Calibri"/>
        <family val="2"/>
      </rPr>
      <t>Delta(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))-Delta(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支付给职工以及为职工支付的现金</t>
    </r>
    <r>
      <rPr>
        <sz val="10.5"/>
        <color theme="1"/>
        <rFont val="Calibri"/>
        <family val="2"/>
      </rPr>
      <t>))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oper_profit_q_rXXXcash_pay_beh_empl_q_r</t>
    </r>
    <phoneticPr fontId="9" type="noConversion"/>
  </si>
  <si>
    <r>
      <t>Delta(X)-Delta(Y)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Calibri"/>
        <family val="2"/>
      </rPr>
      <t>Delta(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))-Delta(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购买商品、接受劳务支付的现金</t>
    </r>
    <r>
      <rPr>
        <sz val="10.5"/>
        <color theme="1"/>
        <rFont val="Calibri"/>
        <family val="2"/>
      </rPr>
      <t>))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oper_profit_q_rXXXcash_pay_goods_purch_serv_rec_q_r</t>
    </r>
    <phoneticPr fontId="9" type="noConversion"/>
  </si>
  <si>
    <r>
      <t>Delta(X)-Delta(Y)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Calibri"/>
        <family val="2"/>
      </rPr>
      <t>Delta(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))-Delta(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管理费用</t>
    </r>
    <r>
      <rPr>
        <sz val="10.5"/>
        <color theme="1"/>
        <rFont val="Calibri"/>
        <family val="2"/>
      </rPr>
      <t>))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oper_profit_q_rXXXless_gerl_admin_exp_q_r</t>
    </r>
    <phoneticPr fontId="9" type="noConversion"/>
  </si>
  <si>
    <r>
      <t>residue of linear regression(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)~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购建固定资产、无形资产和其他长期资产支付的现金</t>
    </r>
    <r>
      <rPr>
        <sz val="10.5"/>
        <color theme="1"/>
        <rFont val="Calibri"/>
        <family val="2"/>
      </rPr>
      <t>)+1)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oper_profit_qXXXcash_pay_acq_const_fiolta_q</t>
    </r>
    <phoneticPr fontId="9" type="noConversion"/>
  </si>
  <si>
    <r>
      <t>Delta(X)/Y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Calibri"/>
        <family val="2"/>
      </rPr>
      <t>Delta(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))/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支付给职工以及为职工支付的现金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oper_profit_qXXXcash_pay_beh_empl_q</t>
    </r>
    <phoneticPr fontId="9" type="noConversion"/>
  </si>
  <si>
    <r>
      <t>X/Y</t>
    </r>
    <r>
      <rPr>
        <sz val="10.5"/>
        <color theme="1"/>
        <rFont val="宋体"/>
        <family val="3"/>
        <charset val="134"/>
      </rPr>
      <t>：季度化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管理费用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oper_profit_qXXXless_gerl_admin_exp_q</t>
    </r>
    <phoneticPr fontId="9" type="noConversion"/>
  </si>
  <si>
    <r>
      <t>residue of linear regression(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)~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经营活动产生的现金流量净额</t>
    </r>
    <r>
      <rPr>
        <sz val="10.5"/>
        <color theme="1"/>
        <rFont val="Calibri"/>
        <family val="2"/>
      </rPr>
      <t>)+1)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oper_profit_qXXXnet_cash_flows_oper_act_q</t>
    </r>
    <phoneticPr fontId="9" type="noConversion"/>
  </si>
  <si>
    <r>
      <t>X/Y</t>
    </r>
    <r>
      <rPr>
        <sz val="10.5"/>
        <color theme="1"/>
        <rFont val="宋体"/>
        <family val="3"/>
        <charset val="134"/>
      </rPr>
      <t>：季度化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营业总收入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营业总成本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tot_oper_rev_qXXXtot_oper_cost_q</t>
    </r>
    <phoneticPr fontId="9" type="noConversion"/>
  </si>
  <si>
    <t>dafc2ia</t>
    <phoneticPr fontId="9" type="noConversion"/>
  </si>
  <si>
    <t>rqop_rcpg</t>
    <phoneticPr fontId="9" type="noConversion"/>
  </si>
  <si>
    <t>rrqop_qcpacf</t>
    <phoneticPr fontId="9" type="noConversion"/>
  </si>
  <si>
    <t>rrqop_qncfoa</t>
    <phoneticPr fontId="9" type="noConversion"/>
  </si>
  <si>
    <t>rqnp_rqcpbe</t>
    <phoneticPr fontId="9" type="noConversion"/>
  </si>
  <si>
    <t>rqop_rqcpbe</t>
    <phoneticPr fontId="9" type="noConversion"/>
  </si>
  <si>
    <t>操作</t>
    <phoneticPr fontId="9" type="noConversion"/>
  </si>
  <si>
    <t>IC</t>
    <phoneticPr fontId="9" type="noConversion"/>
  </si>
  <si>
    <t>信号说明</t>
    <phoneticPr fontId="5" type="noConversion"/>
  </si>
  <si>
    <t>优化后IC</t>
    <phoneticPr fontId="9" type="noConversion"/>
  </si>
  <si>
    <r>
      <rPr>
        <sz val="10.5"/>
        <color theme="1"/>
        <rFont val="宋体"/>
        <family val="3"/>
        <charset val="134"/>
      </rPr>
      <t>新增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删除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优化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不变</t>
    </r>
    <phoneticPr fontId="9" type="noConversion"/>
  </si>
  <si>
    <t>生产使用</t>
    <phoneticPr fontId="9" type="noConversion"/>
  </si>
  <si>
    <r>
      <rPr>
        <sz val="10.5"/>
        <color theme="1"/>
        <rFont val="宋体"/>
        <family val="3"/>
        <charset val="134"/>
      </rPr>
      <t>成交量或成交额与行业平均的线性回归取残差（全天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上午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下午的数据），求一致性交易成交量与全天交易量之比，构造出一致性交易因子</t>
    </r>
    <phoneticPr fontId="9" type="noConversion"/>
  </si>
  <si>
    <t>是</t>
    <phoneticPr fontId="9" type="noConversion"/>
  </si>
  <si>
    <t>另类</t>
    <phoneticPr fontId="5" type="noConversion"/>
  </si>
  <si>
    <t>smartholding</t>
    <phoneticPr fontId="9" type="noConversion"/>
  </si>
  <si>
    <t>lgtratio</t>
    <phoneticPr fontId="9" type="noConversion"/>
  </si>
  <si>
    <t>陆股通持股占流通股本比例</t>
    <phoneticPr fontId="9" type="noConversion"/>
  </si>
  <si>
    <t>lev</t>
    <phoneticPr fontId="9" type="noConversion"/>
  </si>
  <si>
    <t>o</t>
    <phoneticPr fontId="9" type="noConversion"/>
  </si>
  <si>
    <t>bab</t>
    <phoneticPr fontId="9" type="noConversion"/>
  </si>
  <si>
    <t>evol</t>
    <phoneticPr fontId="9" type="noConversion"/>
  </si>
  <si>
    <t>fundkey</t>
    <phoneticPr fontId="9" type="noConversion"/>
  </si>
  <si>
    <t>按照最新季报披露的持仓数据，计算持仓比例。在各个行业内，将所有基金的持仓比例相加，前面N个入选该行业核心持股。对于股票数量大于等于10个的行业，取前5名；大于等于5小于10的，取前3名；小于5的，取前面1名取值1</t>
    <phoneticPr fontId="9" type="noConversion"/>
  </si>
  <si>
    <t>smartholding</t>
    <phoneticPr fontId="9" type="noConversion"/>
  </si>
  <si>
    <t>indlead</t>
    <phoneticPr fontId="9" type="noConversion"/>
  </si>
  <si>
    <t>中证1级行业，计算平均rank（过去1年总市值，过去1年日均成交额，上年报营业收入，上年报营业利润)，选前3只</t>
    <phoneticPr fontId="9" type="noConversion"/>
  </si>
  <si>
    <t>momentum</t>
    <phoneticPr fontId="9" type="noConversion"/>
  </si>
  <si>
    <r>
      <rPr>
        <sz val="10.5"/>
        <color theme="1"/>
        <rFont val="宋体"/>
        <family val="3"/>
        <charset val="134"/>
      </rPr>
      <t>风险模型</t>
    </r>
    <r>
      <rPr>
        <sz val="10.5"/>
        <color theme="1"/>
        <rFont val="Calibri"/>
        <family val="2"/>
      </rPr>
      <t>momentum</t>
    </r>
    <phoneticPr fontId="9" type="noConversion"/>
  </si>
  <si>
    <t>demom</t>
    <phoneticPr fontId="9" type="noConversion"/>
  </si>
  <si>
    <t>pairs_l</t>
    <phoneticPr fontId="9" type="noConversion"/>
  </si>
  <si>
    <t>rcon_peg_roll</t>
  </si>
  <si>
    <t>revs</t>
    <phoneticPr fontId="9" type="noConversion"/>
  </si>
  <si>
    <t>spb</t>
    <phoneticPr fontId="9" type="noConversion"/>
  </si>
  <si>
    <t>tprtn2</t>
    <phoneticPr fontId="9" type="noConversion"/>
  </si>
  <si>
    <t>tprtn</t>
    <phoneticPr fontId="9" type="noConversion"/>
  </si>
  <si>
    <t>i_volatility</t>
    <phoneticPr fontId="9" type="noConversion"/>
  </si>
  <si>
    <t>残差波动率</t>
    <phoneticPr fontId="9" type="noConversion"/>
  </si>
  <si>
    <t>ivo</t>
    <phoneticPr fontId="9" type="noConversion"/>
  </si>
  <si>
    <t>nrb2p</t>
  </si>
  <si>
    <t>过去1年相对nBP</t>
    <phoneticPr fontId="9" type="noConversion"/>
  </si>
  <si>
    <t>nre2p</t>
  </si>
  <si>
    <t>过去1年相对nEP</t>
    <phoneticPr fontId="9" type="noConversion"/>
  </si>
  <si>
    <t>nrpegl</t>
  </si>
  <si>
    <t>同rpegl</t>
    <phoneticPr fontId="5" type="noConversion"/>
  </si>
  <si>
    <t>nrpegs</t>
  </si>
  <si>
    <t>同rpegs</t>
    <phoneticPr fontId="5" type="noConversion"/>
  </si>
  <si>
    <t>rb2p</t>
    <phoneticPr fontId="5" type="noConversion"/>
  </si>
  <si>
    <t>历史相对BP</t>
  </si>
  <si>
    <t>re2p</t>
    <phoneticPr fontId="5" type="noConversion"/>
  </si>
  <si>
    <t>过去1年相对EP</t>
    <phoneticPr fontId="9" type="noConversion"/>
  </si>
  <si>
    <t>rfy12p</t>
    <phoneticPr fontId="9" type="noConversion"/>
  </si>
  <si>
    <t>历史相对一致预期EP（读取fy12p过去一年数据计算z-score）</t>
  </si>
  <si>
    <t>过去1年相对pegl</t>
    <phoneticPr fontId="5" type="noConversion"/>
  </si>
  <si>
    <t>过去1年相对pegs</t>
    <phoneticPr fontId="5" type="noConversion"/>
  </si>
  <si>
    <t>价值反转</t>
    <phoneticPr fontId="9" type="noConversion"/>
  </si>
  <si>
    <t>过去1年相对con_peg_roll</t>
    <phoneticPr fontId="9" type="noConversion"/>
  </si>
  <si>
    <t>eps_variability</t>
  </si>
  <si>
    <t>safety</t>
    <phoneticPr fontId="9" type="noConversion"/>
  </si>
  <si>
    <t>优化/新增说明</t>
    <phoneticPr fontId="5" type="noConversion"/>
  </si>
  <si>
    <t>情绪</t>
  </si>
  <si>
    <t>动量</t>
  </si>
  <si>
    <t>drmom12</t>
    <phoneticPr fontId="9" type="noConversion"/>
  </si>
  <si>
    <t>y(R_id)表示股票d在第i天的收益率排序，每个月计算个股的平均排名，计算个股12个月内的平均排名。Sign为个股涨跌计数（上涨计1，下跌计0)，计算个股12个月内上涨天数的排序。Drmom = 两个排序相加，剔除最近1个月</t>
    <phoneticPr fontId="9" type="noConversion"/>
  </si>
  <si>
    <t>drmom6</t>
    <phoneticPr fontId="9" type="noConversion"/>
  </si>
  <si>
    <t>y(R_id)表示股票d在第i天的收益率排序，每个月计算个股的平均排名，计算个股12个月内的平均排名。Sign为个股涨跌计数（上涨计1，下跌计0)，计算个股6个月内上涨天数的排序。Drmom = 两个排序相加</t>
    <phoneticPr fontId="9" type="noConversion"/>
  </si>
  <si>
    <t>drmom9</t>
    <phoneticPr fontId="9" type="noConversion"/>
  </si>
  <si>
    <t>y(R_id)表示股票d在第i天的收益率排序，每个月计算个股的平均排名，计算个股12个月内的平均排名。Sign为个股涨跌计数（上涨计1，下跌计0)，计算个股9个月内上涨天数的排序。Drmom = 两个排序相加</t>
    <phoneticPr fontId="9" type="noConversion"/>
  </si>
  <si>
    <t>cthl12</t>
  </si>
  <si>
    <t>根据开盘和昨收，确定chtl的值。当高开时(open&gt;pclose)，chtl = high/pclose-1; 平开(opne=close), chtl=0；低开时(open&lt;pclose), chtl = low/pclose-1。因子值=sum(chtl)。剔除最近1个月后的11个月的累计值</t>
    <phoneticPr fontId="9" type="noConversion"/>
  </si>
  <si>
    <t>新增</t>
  </si>
  <si>
    <t>cthl6</t>
  </si>
  <si>
    <t>cthl9</t>
  </si>
  <si>
    <t>cto12</t>
  </si>
  <si>
    <t>隔日动量。使用sum(open/pclose-1）计算，open为开盘价，pclose为预测开盘价。剔除最近1个月后的11个月，逐日累加</t>
    <phoneticPr fontId="9" type="noConversion"/>
  </si>
  <si>
    <t>cto6</t>
  </si>
  <si>
    <t>隔日动量。使用sum(open/pclose-1）计算，open为开盘价，pclose为预测开盘价。剔除最近1个月后的5个月，逐日累加</t>
    <phoneticPr fontId="9" type="noConversion"/>
  </si>
  <si>
    <t>cto9</t>
  </si>
  <si>
    <t>MomVol10</t>
    <phoneticPr fontId="9" type="noConversion"/>
  </si>
  <si>
    <t>过去10个月(剔除最近一个)波动率调整后的动量，类似于夏普</t>
    <phoneticPr fontId="9" type="noConversion"/>
  </si>
  <si>
    <t>MomVol12</t>
    <phoneticPr fontId="9" type="noConversion"/>
  </si>
  <si>
    <t>过去12个月(剔除最近一个)波动率调整后的动量，类似于夏普</t>
    <phoneticPr fontId="9" type="noConversion"/>
  </si>
  <si>
    <t>MomVol7</t>
    <phoneticPr fontId="9" type="noConversion"/>
  </si>
  <si>
    <t>过去7个月(剔除最近一个)波动率调整后的动量，类似于夏普</t>
    <phoneticPr fontId="9" type="noConversion"/>
  </si>
  <si>
    <t>根据开盘和昨收，确定chtl的值。当高开时(open&gt;pclose)，chtl = high/pclose-1; 平开(opne=close), chtl=0；低开时(open&lt;pclose), chtl = low/pclose-1。因子值=sum(chtl)。剔除最近1个月后的5个月的累计值</t>
    <phoneticPr fontId="9" type="noConversion"/>
  </si>
  <si>
    <t>根据开盘和昨收，确定chtl的值。当高开时(open&gt;pclose)，chtl = high/pclose-1; 平开(opne=close), chtl=0；低开时(open&lt;pclose), chtl = low/pclose-1。因子值=sum(chtl)。剔除最近1个月后的8个月的累计值</t>
    <phoneticPr fontId="9" type="noConversion"/>
  </si>
  <si>
    <t>隔日动量。使用sum(open/pclose-1）计算，open为开盘价，pclose为预测开盘价。剔除最近1个月后的8个月，逐日累加</t>
    <phoneticPr fontId="9" type="noConversion"/>
  </si>
  <si>
    <t>dqop2qcpbe</t>
    <phoneticPr fontId="9" type="noConversion"/>
  </si>
  <si>
    <t>sig.name</t>
  </si>
  <si>
    <t>egro5</t>
  </si>
  <si>
    <t>fg3</t>
  </si>
  <si>
    <t>npg_ttm</t>
  </si>
  <si>
    <t>opg_ttm</t>
  </si>
  <si>
    <t>org_ttm</t>
  </si>
  <si>
    <t>sgro3</t>
  </si>
  <si>
    <t>sgro5</t>
  </si>
  <si>
    <t>qop2qlgae</t>
    <phoneticPr fontId="9" type="noConversion"/>
  </si>
  <si>
    <t>qtor2qtoc</t>
    <phoneticPr fontId="9" type="noConversion"/>
  </si>
  <si>
    <t>rqop_rqlgae</t>
    <phoneticPr fontId="9" type="noConversion"/>
  </si>
  <si>
    <t>分析师</t>
    <phoneticPr fontId="5" type="noConversion"/>
  </si>
  <si>
    <t>rec</t>
    <phoneticPr fontId="5" type="noConversion"/>
  </si>
  <si>
    <t>brkgs</t>
    <phoneticPr fontId="9" type="noConversion"/>
  </si>
  <si>
    <t>券商金股,根据调入调出家数进行赋值，加总得到总分</t>
    <phoneticPr fontId="9" type="noConversion"/>
  </si>
  <si>
    <t>brkgs</t>
    <phoneticPr fontId="9" type="noConversion"/>
  </si>
  <si>
    <t>分析师</t>
    <phoneticPr fontId="5" type="noConversion"/>
  </si>
  <si>
    <t>cov</t>
    <phoneticPr fontId="5" type="noConversion"/>
  </si>
  <si>
    <t>cvg</t>
    <phoneticPr fontId="9" type="noConversion"/>
  </si>
  <si>
    <t>n个月覆盖度（同一机构不同日期算多次）</t>
    <phoneticPr fontId="9" type="noConversion"/>
  </si>
  <si>
    <t>删除</t>
    <phoneticPr fontId="9" type="noConversion"/>
  </si>
  <si>
    <r>
      <rPr>
        <sz val="10.5"/>
        <rFont val="宋体"/>
        <family val="3"/>
        <charset val="134"/>
      </rPr>
      <t>可以使用</t>
    </r>
    <r>
      <rPr>
        <sz val="10.5"/>
        <rFont val="Calibri"/>
        <family val="2"/>
      </rPr>
      <t>cvg_og</t>
    </r>
    <r>
      <rPr>
        <sz val="10.5"/>
        <rFont val="宋体"/>
        <family val="3"/>
        <charset val="134"/>
      </rPr>
      <t>，只考虑机构数，表现也更好一些</t>
    </r>
    <phoneticPr fontId="9" type="noConversion"/>
  </si>
  <si>
    <t>cvg_og3</t>
    <phoneticPr fontId="9" type="noConversion"/>
  </si>
  <si>
    <t>3个月覆盖度,机构数</t>
    <phoneticPr fontId="9" type="noConversion"/>
  </si>
  <si>
    <t>是</t>
    <phoneticPr fontId="9" type="noConversion"/>
  </si>
  <si>
    <t>不变</t>
    <phoneticPr fontId="9" type="noConversion"/>
  </si>
  <si>
    <t>对1-4个月进行遍历，从覆盖度和表现上目前3个月合理</t>
    <phoneticPr fontId="9" type="noConversion"/>
  </si>
  <si>
    <t>分析师</t>
    <phoneticPr fontId="5" type="noConversion"/>
  </si>
  <si>
    <t>drec</t>
    <phoneticPr fontId="5" type="noConversion"/>
  </si>
  <si>
    <t>darec</t>
    <phoneticPr fontId="9" type="noConversion"/>
  </si>
  <si>
    <r>
      <rPr>
        <sz val="10.5"/>
        <color theme="1"/>
        <rFont val="宋体"/>
        <family val="3"/>
        <charset val="134"/>
      </rPr>
      <t>评级变动加权（</t>
    </r>
    <r>
      <rPr>
        <sz val="10.5"/>
        <color theme="1"/>
        <rFont val="Calibri"/>
        <family val="2"/>
      </rPr>
      <t>darec_l:</t>
    </r>
    <r>
      <rPr>
        <sz val="10.5"/>
        <color theme="1"/>
        <rFont val="宋体"/>
        <family val="3"/>
        <charset val="134"/>
      </rPr>
      <t>所有机构，</t>
    </r>
    <r>
      <rPr>
        <sz val="10.5"/>
        <color theme="1"/>
        <rFont val="Calibri"/>
        <family val="2"/>
      </rPr>
      <t>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60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 xml:space="preserve">;darec: </t>
    </r>
    <r>
      <rPr>
        <sz val="10.5"/>
        <color theme="1"/>
        <rFont val="宋体"/>
        <family val="3"/>
        <charset val="134"/>
      </rPr>
      <t>所有机构</t>
    </r>
    <r>
      <rPr>
        <sz val="10.5"/>
        <color theme="1"/>
        <rFont val="Calibri"/>
        <family val="2"/>
      </rPr>
      <t>,180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 xml:space="preserve">;darec_w: </t>
    </r>
    <r>
      <rPr>
        <sz val="10.5"/>
        <color theme="1"/>
        <rFont val="宋体"/>
        <family val="3"/>
        <charset val="134"/>
      </rPr>
      <t>所有机构，</t>
    </r>
    <r>
      <rPr>
        <sz val="10.5"/>
        <color theme="1"/>
        <rFont val="Calibri"/>
        <family val="2"/>
      </rPr>
      <t>90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;darec_s</t>
    </r>
    <r>
      <rPr>
        <sz val="10.5"/>
        <color theme="1"/>
        <rFont val="宋体"/>
        <family val="3"/>
        <charset val="134"/>
      </rPr>
      <t>）</t>
    </r>
    <phoneticPr fontId="9" type="noConversion"/>
  </si>
  <si>
    <t>darec</t>
    <phoneticPr fontId="9" type="noConversion"/>
  </si>
  <si>
    <t>是</t>
    <phoneticPr fontId="9" type="noConversion"/>
  </si>
  <si>
    <t>删除</t>
    <phoneticPr fontId="9" type="noConversion"/>
  </si>
  <si>
    <t>\</t>
    <phoneticPr fontId="9" type="noConversion"/>
  </si>
  <si>
    <t>\</t>
    <phoneticPr fontId="9" type="noConversion"/>
  </si>
  <si>
    <t>代码合并，与darec_l相关性很高，不保存</t>
    <phoneticPr fontId="9" type="noConversion"/>
  </si>
  <si>
    <t>分析师</t>
    <phoneticPr fontId="5" type="noConversion"/>
  </si>
  <si>
    <t>drec</t>
    <phoneticPr fontId="5" type="noConversion"/>
  </si>
  <si>
    <t>darec_l</t>
    <phoneticPr fontId="9" type="noConversion"/>
  </si>
  <si>
    <r>
      <rPr>
        <sz val="10.5"/>
        <color theme="1"/>
        <rFont val="宋体"/>
        <family val="3"/>
        <charset val="134"/>
      </rPr>
      <t>评级变动加权（</t>
    </r>
    <r>
      <rPr>
        <sz val="10.5"/>
        <color theme="1"/>
        <rFont val="Calibri"/>
        <family val="2"/>
      </rPr>
      <t>darec_l:</t>
    </r>
    <r>
      <rPr>
        <sz val="10.5"/>
        <color theme="1"/>
        <rFont val="宋体"/>
        <family val="3"/>
        <charset val="134"/>
      </rPr>
      <t>所有机构，</t>
    </r>
    <r>
      <rPr>
        <sz val="10.5"/>
        <color theme="1"/>
        <rFont val="Calibri"/>
        <family val="2"/>
      </rPr>
      <t>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60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 xml:space="preserve">;darec: </t>
    </r>
    <r>
      <rPr>
        <sz val="10.5"/>
        <color theme="1"/>
        <rFont val="宋体"/>
        <family val="3"/>
        <charset val="134"/>
      </rPr>
      <t>所有机构</t>
    </r>
    <r>
      <rPr>
        <sz val="10.5"/>
        <color theme="1"/>
        <rFont val="Calibri"/>
        <family val="2"/>
      </rPr>
      <t>,180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 xml:space="preserve">;darec_w: </t>
    </r>
    <r>
      <rPr>
        <sz val="10.5"/>
        <color theme="1"/>
        <rFont val="宋体"/>
        <family val="3"/>
        <charset val="134"/>
      </rPr>
      <t>所有机构，</t>
    </r>
    <r>
      <rPr>
        <sz val="10.5"/>
        <color theme="1"/>
        <rFont val="Calibri"/>
        <family val="2"/>
      </rPr>
      <t>90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;darec_s</t>
    </r>
    <r>
      <rPr>
        <sz val="10.5"/>
        <color theme="1"/>
        <rFont val="宋体"/>
        <family val="3"/>
        <charset val="134"/>
      </rPr>
      <t>）</t>
    </r>
    <phoneticPr fontId="9" type="noConversion"/>
  </si>
  <si>
    <t>优化</t>
    <phoneticPr fontId="9" type="noConversion"/>
  </si>
  <si>
    <t>优化</t>
    <phoneticPr fontId="9" type="noConversion"/>
  </si>
  <si>
    <t>代码合并，使用100工作日，半衰期60工作日，改名darec100_60</t>
    <phoneticPr fontId="9" type="noConversion"/>
  </si>
  <si>
    <t>darec_s</t>
    <phoneticPr fontId="9" type="noConversion"/>
  </si>
  <si>
    <r>
      <rPr>
        <sz val="10.5"/>
        <color theme="1"/>
        <rFont val="宋体"/>
        <family val="3"/>
        <charset val="134"/>
      </rPr>
      <t>评级变动加权（</t>
    </r>
    <r>
      <rPr>
        <sz val="10.5"/>
        <color theme="1"/>
        <rFont val="Calibri"/>
        <family val="2"/>
      </rPr>
      <t>darec_l:</t>
    </r>
    <r>
      <rPr>
        <sz val="10.5"/>
        <color theme="1"/>
        <rFont val="宋体"/>
        <family val="3"/>
        <charset val="134"/>
      </rPr>
      <t>所有机构，</t>
    </r>
    <r>
      <rPr>
        <sz val="10.5"/>
        <color theme="1"/>
        <rFont val="Calibri"/>
        <family val="2"/>
      </rPr>
      <t>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60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 xml:space="preserve">;darec: </t>
    </r>
    <r>
      <rPr>
        <sz val="10.5"/>
        <color theme="1"/>
        <rFont val="宋体"/>
        <family val="3"/>
        <charset val="134"/>
      </rPr>
      <t>所有机构</t>
    </r>
    <r>
      <rPr>
        <sz val="10.5"/>
        <color theme="1"/>
        <rFont val="Calibri"/>
        <family val="2"/>
      </rPr>
      <t>,180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 xml:space="preserve">;darec_w: </t>
    </r>
    <r>
      <rPr>
        <sz val="10.5"/>
        <color theme="1"/>
        <rFont val="宋体"/>
        <family val="3"/>
        <charset val="134"/>
      </rPr>
      <t>所有机构，</t>
    </r>
    <r>
      <rPr>
        <sz val="10.5"/>
        <color theme="1"/>
        <rFont val="Calibri"/>
        <family val="2"/>
      </rPr>
      <t>90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;darec_s</t>
    </r>
    <r>
      <rPr>
        <sz val="10.5"/>
        <color theme="1"/>
        <rFont val="宋体"/>
        <family val="3"/>
        <charset val="134"/>
      </rPr>
      <t>）</t>
    </r>
    <phoneticPr fontId="9" type="noConversion"/>
  </si>
  <si>
    <t>darec</t>
    <phoneticPr fontId="9" type="noConversion"/>
  </si>
  <si>
    <t>优化</t>
    <phoneticPr fontId="9" type="noConversion"/>
  </si>
  <si>
    <t>代码合并，使用20工作日，半衰期10工作日，改名为darec20_10，与darec80_30比较</t>
    <phoneticPr fontId="9" type="noConversion"/>
  </si>
  <si>
    <t>drev</t>
    <phoneticPr fontId="5" type="noConversion"/>
  </si>
  <si>
    <t>darev</t>
    <phoneticPr fontId="9" type="noConversion"/>
  </si>
  <si>
    <t>盈利预测同比变化/总市值(darev:90天，30半衰期;darev_l: 120天，60半衰期;darev_s: 40天，10半衰期;添加darev_num_hl:num工作日内的预测，hl半衰期加权)</t>
    <phoneticPr fontId="9" type="noConversion"/>
  </si>
  <si>
    <t>是</t>
    <phoneticPr fontId="9" type="noConversion"/>
  </si>
  <si>
    <t>优化</t>
    <phoneticPr fontId="9" type="noConversion"/>
  </si>
  <si>
    <t>\</t>
    <phoneticPr fontId="9" type="noConversion"/>
  </si>
  <si>
    <t>代码合并，与darev_l相关性很高,去掉，添加darev_60_20,不做比较</t>
    <phoneticPr fontId="9" type="noConversion"/>
  </si>
  <si>
    <t>drev</t>
    <phoneticPr fontId="5" type="noConversion"/>
  </si>
  <si>
    <t>darev_l</t>
    <phoneticPr fontId="5" type="noConversion"/>
  </si>
  <si>
    <t>代码合并，参数改为120工作日，半衰期60工作日，命名为darev_120_60,与80_40工作日比较</t>
    <phoneticPr fontId="9" type="noConversion"/>
  </si>
  <si>
    <t>darev_s</t>
    <phoneticPr fontId="5" type="noConversion"/>
  </si>
  <si>
    <t>盈利预测同比变化/总市值(darev:90天，30半衰期;darev_l: 120天，60半衰期;darev_s: 40天，10半衰期;添加darev_num_hl:num工作日内的预测，hl半衰期加权)</t>
    <phoneticPr fontId="9" type="noConversion"/>
  </si>
  <si>
    <t>darev</t>
    <phoneticPr fontId="9" type="noConversion"/>
  </si>
  <si>
    <t>代码合并，参数改为40工作日，半衰期10工作日，命名为darev_40_10,与20_10工作日比较</t>
    <phoneticPr fontId="9" type="noConversion"/>
  </si>
  <si>
    <t>drec</t>
    <phoneticPr fontId="9" type="noConversion"/>
  </si>
  <si>
    <t>最新一致预期评级变化,这个月评级-上个月</t>
    <phoneticPr fontId="9" type="noConversion"/>
  </si>
  <si>
    <t>drec</t>
    <phoneticPr fontId="9" type="noConversion"/>
  </si>
  <si>
    <t>不变</t>
    <phoneticPr fontId="9" type="noConversion"/>
  </si>
  <si>
    <t>dispersion</t>
    <phoneticPr fontId="5" type="noConversion"/>
  </si>
  <si>
    <t>eps_variability2</t>
    <phoneticPr fontId="9" type="noConversion"/>
  </si>
  <si>
    <t>n个月分析师分歧度,至少3家覆盖</t>
    <phoneticPr fontId="9" type="noConversion"/>
  </si>
  <si>
    <t>不变</t>
    <phoneticPr fontId="9" type="noConversion"/>
  </si>
  <si>
    <r>
      <rPr>
        <sz val="10.5"/>
        <color theme="1"/>
        <rFont val="宋体"/>
        <family val="3"/>
        <charset val="134"/>
      </rPr>
      <t>测试</t>
    </r>
    <r>
      <rPr>
        <sz val="10.5"/>
        <color theme="1"/>
        <rFont val="Calibri"/>
        <family val="2"/>
      </rPr>
      <t>1/2/3/6/9</t>
    </r>
    <r>
      <rPr>
        <sz val="10.5"/>
        <color theme="1"/>
        <rFont val="宋体"/>
        <family val="3"/>
        <charset val="134"/>
      </rPr>
      <t>个月</t>
    </r>
    <phoneticPr fontId="9" type="noConversion"/>
  </si>
  <si>
    <t>grev3</t>
    <phoneticPr fontId="9" type="noConversion"/>
  </si>
  <si>
    <t>盈利预测变动(相比1个月前grev,3个月前grev3)</t>
    <phoneticPr fontId="9" type="noConversion"/>
  </si>
  <si>
    <t>grev</t>
    <phoneticPr fontId="9" type="noConversion"/>
  </si>
  <si>
    <t>不变</t>
    <phoneticPr fontId="9" type="noConversion"/>
  </si>
  <si>
    <r>
      <rPr>
        <sz val="10.5"/>
        <rFont val="宋体"/>
        <family val="3"/>
        <charset val="134"/>
      </rPr>
      <t>测试了</t>
    </r>
    <r>
      <rPr>
        <sz val="10.5"/>
        <rFont val="Calibri"/>
        <family val="2"/>
      </rPr>
      <t>1-6</t>
    </r>
    <r>
      <rPr>
        <sz val="10.5"/>
        <rFont val="宋体"/>
        <family val="3"/>
        <charset val="134"/>
      </rPr>
      <t>个月，</t>
    </r>
    <r>
      <rPr>
        <sz val="10.5"/>
        <rFont val="Calibri"/>
        <family val="2"/>
      </rPr>
      <t>1</t>
    </r>
    <r>
      <rPr>
        <sz val="10.5"/>
        <rFont val="宋体"/>
        <family val="3"/>
        <charset val="134"/>
      </rPr>
      <t>、</t>
    </r>
    <r>
      <rPr>
        <sz val="10.5"/>
        <rFont val="Calibri"/>
        <family val="2"/>
      </rPr>
      <t>6</t>
    </r>
    <r>
      <rPr>
        <sz val="10.5"/>
        <rFont val="宋体"/>
        <family val="3"/>
        <charset val="134"/>
      </rPr>
      <t>明显差一些，其他差别不大</t>
    </r>
    <phoneticPr fontId="9" type="noConversion"/>
  </si>
  <si>
    <t>分析师</t>
    <phoneticPr fontId="5" type="noConversion"/>
  </si>
  <si>
    <t>rec</t>
    <phoneticPr fontId="5" type="noConversion"/>
  </si>
  <si>
    <t>intretp</t>
    <phoneticPr fontId="9" type="noConversion"/>
  </si>
  <si>
    <t>内部分析师,1个月内调入或调出的、持有的分别打分</t>
    <phoneticPr fontId="9" type="noConversion"/>
  </si>
  <si>
    <t>drev</t>
    <phoneticPr fontId="5" type="noConversion"/>
  </si>
  <si>
    <t>mom3_con_eps_roll</t>
    <phoneticPr fontId="9" type="noConversion"/>
  </si>
  <si>
    <t>海通，环比增长率指标。例如，Con_EPS_rel表示Con_EPS环比增长率，即本月一致预期EPS/前一个月一致预期EPS-1</t>
    <phoneticPr fontId="9" type="noConversion"/>
  </si>
  <si>
    <t>mom_con_forcast</t>
    <phoneticPr fontId="9" type="noConversion"/>
  </si>
  <si>
    <t>不变</t>
    <phoneticPr fontId="9" type="noConversion"/>
  </si>
  <si>
    <r>
      <rPr>
        <sz val="10.5"/>
        <color theme="1"/>
        <rFont val="宋体"/>
        <family val="3"/>
        <charset val="134"/>
      </rPr>
      <t>测试了</t>
    </r>
    <r>
      <rPr>
        <sz val="10.5"/>
        <color theme="1"/>
        <rFont val="Calibri"/>
        <family val="2"/>
      </rPr>
      <t>1-6</t>
    </r>
    <r>
      <rPr>
        <sz val="10.5"/>
        <color theme="1"/>
        <rFont val="宋体"/>
        <family val="3"/>
        <charset val="134"/>
      </rPr>
      <t>个月，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个月明显差一些，其他差不多</t>
    </r>
    <phoneticPr fontId="9" type="noConversion"/>
  </si>
  <si>
    <t>分析师</t>
    <phoneticPr fontId="5" type="noConversion"/>
  </si>
  <si>
    <t>drev</t>
    <phoneticPr fontId="5" type="noConversion"/>
  </si>
  <si>
    <t>rcon_eps_roll</t>
    <phoneticPr fontId="9" type="noConversion"/>
  </si>
  <si>
    <r>
      <rPr>
        <sz val="10.5"/>
        <color theme="1"/>
        <rFont val="等线"/>
        <family val="2"/>
      </rPr>
      <t>一致预期滚动</t>
    </r>
    <r>
      <rPr>
        <sz val="10.5"/>
        <color theme="1"/>
        <rFont val="Calibri"/>
        <family val="2"/>
      </rPr>
      <t>PEPS</t>
    </r>
    <r>
      <rPr>
        <sz val="10.5"/>
        <color theme="1"/>
        <rFont val="等线"/>
        <family val="2"/>
      </rPr>
      <t>当前值相对最近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</si>
  <si>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t>rcon_forcast</t>
    <phoneticPr fontId="9" type="noConversion"/>
  </si>
  <si>
    <t>不变</t>
    <phoneticPr fontId="9" type="noConversion"/>
  </si>
  <si>
    <t>分析师</t>
    <phoneticPr fontId="5" type="noConversion"/>
  </si>
  <si>
    <t>rec</t>
    <phoneticPr fontId="5" type="noConversion"/>
  </si>
  <si>
    <t>rec</t>
    <phoneticPr fontId="9" type="noConversion"/>
  </si>
  <si>
    <r>
      <rPr>
        <sz val="10.5"/>
        <color theme="1"/>
        <rFont val="宋体"/>
        <family val="3"/>
        <charset val="134"/>
      </rPr>
      <t>最新一致预期评级</t>
    </r>
    <r>
      <rPr>
        <sz val="10.5"/>
        <color theme="1"/>
        <rFont val="Calibri"/>
        <family val="2"/>
      </rPr>
      <t>(</t>
    </r>
    <r>
      <rPr>
        <sz val="9"/>
        <color rgb="FF333333"/>
        <rFont val="Arial"/>
        <family val="2"/>
      </rPr>
      <t>90</t>
    </r>
    <r>
      <rPr>
        <sz val="9"/>
        <color rgb="FF333333"/>
        <rFont val="等线"/>
        <family val="3"/>
        <charset val="134"/>
        <scheme val="minor"/>
      </rPr>
      <t>天内</t>
    </r>
    <r>
      <rPr>
        <sz val="9"/>
        <color rgb="FF333333"/>
        <rFont val="等线"/>
        <family val="2"/>
        <scheme val="minor"/>
      </rPr>
      <t>3</t>
    </r>
    <r>
      <rPr>
        <sz val="9"/>
        <color rgb="FF333333"/>
        <rFont val="等线"/>
        <family val="3"/>
        <charset val="134"/>
        <scheme val="minor"/>
      </rPr>
      <t>家加权计算</t>
    </r>
    <r>
      <rPr>
        <sz val="9"/>
        <color rgb="FF333333"/>
        <rFont val="Arial"/>
        <family val="2"/>
      </rPr>
      <t>)</t>
    </r>
    <phoneticPr fontId="9" type="noConversion"/>
  </si>
  <si>
    <t>是</t>
    <phoneticPr fontId="9" type="noConversion"/>
  </si>
  <si>
    <t>删除</t>
    <phoneticPr fontId="9" type="noConversion"/>
  </si>
  <si>
    <r>
      <rPr>
        <sz val="10.5"/>
        <color theme="1"/>
        <rFont val="宋体"/>
        <family val="3"/>
        <charset val="134"/>
      </rPr>
      <t>相关性很高，保存覆盖度更高的</t>
    </r>
    <r>
      <rPr>
        <sz val="10.5"/>
        <color theme="1"/>
        <rFont val="Calibri"/>
        <family val="2"/>
      </rPr>
      <t>rec2</t>
    </r>
    <phoneticPr fontId="9" type="noConversion"/>
  </si>
  <si>
    <t>rec</t>
    <phoneticPr fontId="5" type="noConversion"/>
  </si>
  <si>
    <t>rec2</t>
    <phoneticPr fontId="9" type="noConversion"/>
  </si>
  <si>
    <r>
      <rPr>
        <sz val="10.5"/>
        <color theme="1"/>
        <rFont val="宋体"/>
        <family val="3"/>
        <charset val="134"/>
      </rPr>
      <t>最新一致预期评级</t>
    </r>
    <r>
      <rPr>
        <sz val="10.5"/>
        <color theme="1"/>
        <rFont val="Calibri"/>
        <family val="2"/>
      </rPr>
      <t>(</t>
    </r>
    <r>
      <rPr>
        <sz val="9"/>
        <color rgb="FF333333"/>
        <rFont val="Arial"/>
        <family val="2"/>
      </rPr>
      <t>90</t>
    </r>
    <r>
      <rPr>
        <sz val="9"/>
        <color rgb="FF333333"/>
        <rFont val="等线"/>
        <family val="3"/>
        <charset val="134"/>
        <scheme val="minor"/>
      </rPr>
      <t>天内</t>
    </r>
    <r>
      <rPr>
        <sz val="9"/>
        <color rgb="FF333333"/>
        <rFont val="Arial"/>
        <family val="2"/>
      </rPr>
      <t>1</t>
    </r>
    <r>
      <rPr>
        <sz val="9"/>
        <color rgb="FF333333"/>
        <rFont val="等线"/>
        <family val="3"/>
        <charset val="134"/>
        <scheme val="minor"/>
      </rPr>
      <t>家加权计算</t>
    </r>
    <r>
      <rPr>
        <sz val="9"/>
        <color rgb="FF333333"/>
        <rFont val="Arial"/>
        <family val="2"/>
      </rPr>
      <t>)</t>
    </r>
    <phoneticPr fontId="9" type="noConversion"/>
  </si>
  <si>
    <t>rec</t>
    <phoneticPr fontId="9" type="noConversion"/>
  </si>
  <si>
    <t>是</t>
    <phoneticPr fontId="9" type="noConversion"/>
  </si>
  <si>
    <t>recud</t>
    <phoneticPr fontId="9" type="noConversion"/>
  </si>
  <si>
    <t>评级方向加权(recud:180工作日，30半衰期;recud_l: 180工作日，60半衰期;recud_s: 180工作日，10半衰期)</t>
    <phoneticPr fontId="9" type="noConversion"/>
  </si>
  <si>
    <t>recud</t>
    <phoneticPr fontId="9" type="noConversion"/>
  </si>
  <si>
    <t>代码合并,使用recud_180_30</t>
    <phoneticPr fontId="9" type="noConversion"/>
  </si>
  <si>
    <t>drec</t>
    <phoneticPr fontId="5" type="noConversion"/>
  </si>
  <si>
    <t>recud_l</t>
    <phoneticPr fontId="9" type="noConversion"/>
  </si>
  <si>
    <t>评级方向加权(recud:180工作日，30半衰期;recud_l: 180工作日，60半衰期;recud_s: 180工作日，10半衰期)</t>
    <phoneticPr fontId="9" type="noConversion"/>
  </si>
  <si>
    <t>recud</t>
    <phoneticPr fontId="9" type="noConversion"/>
  </si>
  <si>
    <t>删除</t>
    <phoneticPr fontId="9" type="noConversion"/>
  </si>
  <si>
    <t>代码合并,与recud相关性高，不保存</t>
    <phoneticPr fontId="9" type="noConversion"/>
  </si>
  <si>
    <t>recud_s</t>
    <phoneticPr fontId="9" type="noConversion"/>
  </si>
  <si>
    <r>
      <rPr>
        <sz val="10.5"/>
        <color theme="1"/>
        <rFont val="宋体"/>
        <family val="3"/>
        <charset val="134"/>
      </rPr>
      <t>评级方向加权</t>
    </r>
    <r>
      <rPr>
        <sz val="10.5"/>
        <color theme="1"/>
        <rFont val="Calibri"/>
        <family val="2"/>
      </rPr>
      <t>(recud:180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;recud_l: 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60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;recud_s: 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)</t>
    </r>
    <phoneticPr fontId="9" type="noConversion"/>
  </si>
  <si>
    <t>代码合并,使用recud_20_10</t>
    <phoneticPr fontId="9" type="noConversion"/>
  </si>
  <si>
    <t>rev12</t>
    <phoneticPr fontId="9" type="noConversion"/>
  </si>
  <si>
    <r>
      <rPr>
        <sz val="10.5"/>
        <color theme="1"/>
        <rFont val="宋体"/>
        <family val="3"/>
        <charset val="134"/>
      </rPr>
      <t>过去</t>
    </r>
    <r>
      <rPr>
        <sz val="10.5"/>
        <color theme="1"/>
        <rFont val="Calibri"/>
        <family val="2"/>
      </rPr>
      <t>20</t>
    </r>
    <r>
      <rPr>
        <sz val="10.5"/>
        <color theme="1"/>
        <rFont val="宋体"/>
        <family val="3"/>
        <charset val="134"/>
      </rPr>
      <t>天盈利一致预测相比前一天同比变化（根据数目调整）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总市值</t>
    </r>
    <phoneticPr fontId="9" type="noConversion"/>
  </si>
  <si>
    <t>rev12</t>
    <phoneticPr fontId="9" type="noConversion"/>
  </si>
  <si>
    <t>不变</t>
    <phoneticPr fontId="9" type="noConversion"/>
  </si>
  <si>
    <t>revud</t>
    <phoneticPr fontId="5" type="noConversion"/>
  </si>
  <si>
    <t>revud</t>
    <phoneticPr fontId="9" type="noConversion"/>
  </si>
  <si>
    <t>盈利预测方向变化(revud:90天,15半衰期)，相对一致预期</t>
    <phoneticPr fontId="9" type="noConversion"/>
  </si>
  <si>
    <t>revud</t>
    <phoneticPr fontId="9" type="noConversion"/>
  </si>
  <si>
    <t>优化</t>
    <phoneticPr fontId="9" type="noConversion"/>
  </si>
  <si>
    <r>
      <rPr>
        <sz val="10.5"/>
        <color theme="1"/>
        <rFont val="宋体"/>
        <family val="3"/>
        <charset val="134"/>
      </rPr>
      <t>遍历参数，名称改为</t>
    </r>
    <r>
      <rPr>
        <sz val="10.5"/>
        <color theme="1"/>
        <rFont val="Calibri"/>
        <family val="2"/>
      </rPr>
      <t>revud_120_60,</t>
    </r>
    <r>
      <rPr>
        <sz val="10.5"/>
        <color theme="1"/>
        <rFont val="宋体"/>
        <family val="3"/>
        <charset val="134"/>
      </rPr>
      <t>与</t>
    </r>
    <r>
      <rPr>
        <sz val="10.5"/>
        <color theme="1"/>
        <rFont val="Calibri"/>
        <family val="2"/>
      </rPr>
      <t>revud_60_10</t>
    </r>
    <r>
      <rPr>
        <sz val="10.5"/>
        <color theme="1"/>
        <rFont val="宋体"/>
        <family val="3"/>
        <charset val="134"/>
      </rPr>
      <t>工作日比较</t>
    </r>
    <phoneticPr fontId="9" type="noConversion"/>
  </si>
  <si>
    <t>分析师</t>
    <phoneticPr fontId="5" type="noConversion"/>
  </si>
  <si>
    <t>revud</t>
    <phoneticPr fontId="5" type="noConversion"/>
  </si>
  <si>
    <t>revuds</t>
    <phoneticPr fontId="9" type="noConversion"/>
  </si>
  <si>
    <t>盈利预测方向变化，盈利变动/总市值，调整到-2—2，分为up,down(revuds_l:120天，60半衰期;revuds: 90天，30半衰期;revuds_s: 60天，10半衰期)</t>
    <phoneticPr fontId="9" type="noConversion"/>
  </si>
  <si>
    <t>代码合并,与revuds相关性很高,去掉，添加revuds_60_20,不做比较</t>
    <phoneticPr fontId="9" type="noConversion"/>
  </si>
  <si>
    <t>revud</t>
    <phoneticPr fontId="5" type="noConversion"/>
  </si>
  <si>
    <t>revuds_l</t>
    <phoneticPr fontId="9" type="noConversion"/>
  </si>
  <si>
    <t>盈利预测方向变化，盈利变动/总市值，调整到-2—2，分为up,down(revuds_l:120天，60半衰期;revuds: 90天，30半衰期;revuds_s: 60天，10半衰期)</t>
    <phoneticPr fontId="9" type="noConversion"/>
  </si>
  <si>
    <t>revuds</t>
    <phoneticPr fontId="9" type="noConversion"/>
  </si>
  <si>
    <t>代码合并,参数改为120工作日，半衰期60工作日，命名为revuds_120_60,与80_40工作日比较,相关性很高，选了了个参数长一点的</t>
    <phoneticPr fontId="9" type="noConversion"/>
  </si>
  <si>
    <t>revuds_s</t>
    <phoneticPr fontId="9" type="noConversion"/>
  </si>
  <si>
    <t>盈利预测方向变化，盈利变动/总市值，调整到-2—2，分为up,down(revuds_l:120天，60半衰期;revuds: 90天，30半衰期;revuds_s: 60天，10半衰期)</t>
    <phoneticPr fontId="9" type="noConversion"/>
  </si>
  <si>
    <t>revuds</t>
    <phoneticPr fontId="9" type="noConversion"/>
  </si>
  <si>
    <t>优化</t>
    <phoneticPr fontId="9" type="noConversion"/>
  </si>
  <si>
    <t>代码合并，参数改为40工作日，半衰期10工作日，命名为revuds_40_10,与20_10工作日比较,为了和长期互补，选了时间短一点的</t>
    <phoneticPr fontId="9" type="noConversion"/>
  </si>
  <si>
    <t>revudsratio</t>
    <phoneticPr fontId="9" type="noConversion"/>
  </si>
  <si>
    <t>申万， eps_diffusion = （up-down）/（up+down</t>
    <phoneticPr fontId="9" type="noConversion"/>
  </si>
  <si>
    <t>value_cf</t>
    <phoneticPr fontId="5" type="noConversion"/>
  </si>
  <si>
    <t>aeb2ev</t>
    <phoneticPr fontId="9" type="noConversion"/>
  </si>
  <si>
    <t>ADP=过去5年DEPBASE的平均(至少2年)
DEPBASE=购建固定资产、无形资产和其他长期资产支付的现金-处置固定资产、无形资产和其他长期资产收回的现金净额+取得子公司及其他营业单位支付的现金净额-处置子公司及其他营业单位收到的现金净额+支付其他与投资活动有关的现金-收到其他与投资活动有关的现金
aeb2ev=(经营活动产生的现金流量净额+支付的各项税费-收到的税费返还-ADP)/ev</t>
    <phoneticPr fontId="9" type="noConversion"/>
  </si>
  <si>
    <t>value_cf</t>
    <phoneticPr fontId="5" type="noConversion"/>
  </si>
  <si>
    <t>aeb2ev1</t>
    <phoneticPr fontId="9" type="noConversion"/>
  </si>
  <si>
    <t>aeb是考虑了税前，aeb2ev1考虑税后的，aeb2ev1=(经营活动产生的现金流量净额-ADP)/ev</t>
    <phoneticPr fontId="9" type="noConversion"/>
  </si>
  <si>
    <t>价值</t>
    <phoneticPr fontId="5" type="noConversion"/>
  </si>
  <si>
    <t>value_bv</t>
    <phoneticPr fontId="5" type="noConversion"/>
  </si>
  <si>
    <t>b2p</t>
    <phoneticPr fontId="9" type="noConversion"/>
  </si>
  <si>
    <t>市净率</t>
    <phoneticPr fontId="9" type="noConversion"/>
  </si>
  <si>
    <t>b2p</t>
    <phoneticPr fontId="9" type="noConversion"/>
  </si>
  <si>
    <t>引入相关性补偿修正，可以改善非线性，同时IR和IC都有明显提高</t>
    <phoneticPr fontId="9" type="noConversion"/>
  </si>
  <si>
    <t>杨振建</t>
    <phoneticPr fontId="9" type="noConversion"/>
  </si>
  <si>
    <t>价值</t>
    <phoneticPr fontId="5" type="noConversion"/>
  </si>
  <si>
    <t>value_bv</t>
    <phoneticPr fontId="5" type="noConversion"/>
  </si>
  <si>
    <t>b2p1</t>
    <phoneticPr fontId="9" type="noConversion"/>
  </si>
  <si>
    <t>市净率，净资产剔除永续债和优先股</t>
    <phoneticPr fontId="9" type="noConversion"/>
  </si>
  <si>
    <t>value_cf</t>
    <phoneticPr fontId="5" type="noConversion"/>
  </si>
  <si>
    <t>cfo2ev</t>
    <phoneticPr fontId="9" type="noConversion"/>
  </si>
  <si>
    <t>经营活动产生的现金流量净额net_cash_flows_oper_act /  ev</t>
    <phoneticPr fontId="9" type="noConversion"/>
  </si>
  <si>
    <t>cfo2p</t>
    <phoneticPr fontId="9" type="noConversion"/>
  </si>
  <si>
    <t>经营活动产生的现金流量净额net_cash_flows_oper_act /  p</t>
    <phoneticPr fontId="9" type="noConversion"/>
  </si>
  <si>
    <t>价值</t>
    <phoneticPr fontId="5" type="noConversion"/>
  </si>
  <si>
    <t>value_bv</t>
    <phoneticPr fontId="5" type="noConversion"/>
  </si>
  <si>
    <t>con_pb_roll</t>
    <phoneticPr fontId="9" type="noConversion"/>
  </si>
  <si>
    <t>朝阳永续一致预期PB</t>
    <phoneticPr fontId="9" type="noConversion"/>
  </si>
  <si>
    <t>价值</t>
    <phoneticPr fontId="5" type="noConversion"/>
  </si>
  <si>
    <t>value_pe</t>
    <phoneticPr fontId="5" type="noConversion"/>
  </si>
  <si>
    <t>con_pe_roll</t>
    <phoneticPr fontId="9" type="noConversion"/>
  </si>
  <si>
    <t xml:space="preserve">朝阳永续一致预期PE </t>
    <phoneticPr fontId="9" type="noConversion"/>
  </si>
  <si>
    <t>value_bv</t>
    <phoneticPr fontId="5" type="noConversion"/>
  </si>
  <si>
    <t>con_ps_roll</t>
    <phoneticPr fontId="9" type="noConversion"/>
  </si>
  <si>
    <t>朝阳永续一致预期PS</t>
    <phoneticPr fontId="9" type="noConversion"/>
  </si>
  <si>
    <t>价值</t>
    <phoneticPr fontId="5" type="noConversion"/>
  </si>
  <si>
    <t>value_dvd</t>
    <phoneticPr fontId="5" type="noConversion"/>
  </si>
  <si>
    <t>d2p</t>
    <phoneticPr fontId="9" type="noConversion"/>
  </si>
  <si>
    <t>股息率，d计算方法：往前追溯一年内的最新一期分红预案公告日期，然后按该日期完全追溯12个月分红总额</t>
    <phoneticPr fontId="9" type="noConversion"/>
  </si>
  <si>
    <t>是</t>
    <phoneticPr fontId="9" type="noConversion"/>
  </si>
  <si>
    <t>value_pe</t>
    <phoneticPr fontId="5" type="noConversion"/>
  </si>
  <si>
    <t>e2p</t>
    <phoneticPr fontId="9" type="noConversion"/>
  </si>
  <si>
    <t>市净率，归母净利润/总市值</t>
    <phoneticPr fontId="9" type="noConversion"/>
  </si>
  <si>
    <t>fy12p</t>
    <phoneticPr fontId="9" type="noConversion"/>
  </si>
  <si>
    <t>分析师预测的下一年收入con_forecast_stk中的con_np /EV</t>
    <phoneticPr fontId="9" type="noConversion"/>
  </si>
  <si>
    <t>value_pe</t>
    <phoneticPr fontId="5" type="noConversion"/>
  </si>
  <si>
    <t>fy23p</t>
    <phoneticPr fontId="9" type="noConversion"/>
  </si>
  <si>
    <t>分析师预测的第二年收入con_forecast_stk中的con_np /EV</t>
    <phoneticPr fontId="9" type="noConversion"/>
  </si>
  <si>
    <t>ke2p</t>
    <phoneticPr fontId="9" type="noConversion"/>
  </si>
  <si>
    <t>市净率，扣非归母净利润/总市值</t>
    <phoneticPr fontId="9" type="noConversion"/>
  </si>
  <si>
    <t>nb2p</t>
    <phoneticPr fontId="9" type="noConversion"/>
  </si>
  <si>
    <t>市净率考虑了快报</t>
    <phoneticPr fontId="9" type="noConversion"/>
  </si>
  <si>
    <t>ne2p</t>
    <phoneticPr fontId="9" type="noConversion"/>
  </si>
  <si>
    <t>市净率，归母净利润/总市值，考虑快报和预告</t>
    <phoneticPr fontId="9" type="noConversion"/>
  </si>
  <si>
    <t>ne2p</t>
    <phoneticPr fontId="9" type="noConversion"/>
  </si>
  <si>
    <t>nsale2ev</t>
    <phoneticPr fontId="9" type="noConversion"/>
  </si>
  <si>
    <t>营业总收入oper_rev/ev，考虑快报和预告</t>
    <phoneticPr fontId="9" type="noConversion"/>
  </si>
  <si>
    <t>s12ev</t>
    <phoneticPr fontId="9" type="noConversion"/>
  </si>
  <si>
    <t>分析师预测的下一年收入con_forecast_stk中的con_or /EV</t>
    <phoneticPr fontId="9" type="noConversion"/>
  </si>
  <si>
    <t>引入相关性补偿修正，可以改善非线性，同时IR和IC都有明显提高</t>
    <phoneticPr fontId="9" type="noConversion"/>
  </si>
  <si>
    <t>杨振建</t>
    <phoneticPr fontId="9" type="noConversion"/>
  </si>
  <si>
    <t>价值</t>
    <phoneticPr fontId="5" type="noConversion"/>
  </si>
  <si>
    <t>value_bv</t>
    <phoneticPr fontId="5" type="noConversion"/>
  </si>
  <si>
    <t>s23ev</t>
    <phoneticPr fontId="9" type="noConversion"/>
  </si>
  <si>
    <t>分析师预测的第二年收入con_forecast_stk中的con_or /EV</t>
    <phoneticPr fontId="9" type="noConversion"/>
  </si>
  <si>
    <t>s23ev</t>
    <phoneticPr fontId="9" type="noConversion"/>
  </si>
  <si>
    <t>是</t>
    <phoneticPr fontId="9" type="noConversion"/>
  </si>
  <si>
    <t>优化</t>
    <phoneticPr fontId="9" type="noConversion"/>
  </si>
  <si>
    <t>引入相关性补偿修正，可以改善非线性，同时IR和IC都有明显提高</t>
    <phoneticPr fontId="9" type="noConversion"/>
  </si>
  <si>
    <t>杨振建</t>
    <phoneticPr fontId="9" type="noConversion"/>
  </si>
  <si>
    <t>value_bv</t>
    <phoneticPr fontId="5" type="noConversion"/>
  </si>
  <si>
    <t>sale2ev</t>
    <phoneticPr fontId="9" type="noConversion"/>
  </si>
  <si>
    <t>营业总收入oper_rev/ev</t>
    <phoneticPr fontId="9" type="noConversion"/>
  </si>
  <si>
    <t>引入相关性补偿修正，可以改善非线性，同时IR和IC都有明显提高</t>
    <phoneticPr fontId="9" type="noConversion"/>
  </si>
  <si>
    <t>杨振建</t>
    <phoneticPr fontId="9" type="noConversion"/>
  </si>
  <si>
    <t>sale2p</t>
    <phoneticPr fontId="9" type="noConversion"/>
  </si>
  <si>
    <t>营业总收入oper_rev/总市值</t>
    <phoneticPr fontId="9" type="noConversion"/>
  </si>
  <si>
    <t>ta2ev</t>
    <phoneticPr fontId="9" type="noConversion"/>
  </si>
  <si>
    <t>总资产tot_assets / EV</t>
    <phoneticPr fontId="9" type="noConversion"/>
  </si>
  <si>
    <t>ta2ev</t>
    <phoneticPr fontId="9" type="noConversion"/>
  </si>
  <si>
    <t>cvg_og</t>
    <phoneticPr fontId="9" type="noConversion"/>
  </si>
  <si>
    <r>
      <rPr>
        <sz val="10.5"/>
        <color theme="1"/>
        <rFont val="宋体"/>
        <family val="3"/>
        <charset val="134"/>
      </rPr>
      <t>最新分析师一致预期滚动</t>
    </r>
    <r>
      <rPr>
        <sz val="10.5"/>
        <color theme="1"/>
        <rFont val="Calibri"/>
        <family val="2"/>
      </rPr>
      <t>BP/1</t>
    </r>
    <r>
      <rPr>
        <sz val="10.5"/>
        <color theme="1"/>
        <rFont val="宋体"/>
        <family val="3"/>
        <charset val="134"/>
      </rPr>
      <t>月前分析师一致预期滚动</t>
    </r>
    <r>
      <rPr>
        <sz val="10.5"/>
        <color theme="1"/>
        <rFont val="Calibri"/>
        <family val="2"/>
      </rPr>
      <t>BP-1</t>
    </r>
    <r>
      <rPr>
        <sz val="10.5"/>
        <color theme="1"/>
        <rFont val="宋体"/>
        <family val="3"/>
        <charset val="134"/>
      </rPr>
      <t>。和</t>
    </r>
    <r>
      <rPr>
        <sz val="10.5"/>
        <color theme="1"/>
        <rFont val="Calibri"/>
        <family val="2"/>
      </rPr>
      <t>reversal_price</t>
    </r>
    <r>
      <rPr>
        <sz val="10.5"/>
        <color theme="1"/>
        <rFont val="宋体"/>
        <family val="3"/>
        <charset val="134"/>
      </rPr>
      <t>相关性达</t>
    </r>
    <r>
      <rPr>
        <sz val="10.5"/>
        <color theme="1"/>
        <rFont val="Calibri"/>
        <family val="2"/>
      </rPr>
      <t>0.7</t>
    </r>
    <r>
      <rPr>
        <sz val="10.5"/>
        <color theme="1"/>
        <rFont val="宋体"/>
        <family val="3"/>
        <charset val="134"/>
      </rPr>
      <t>，归入反转中</t>
    </r>
    <phoneticPr fontId="9" type="noConversion"/>
  </si>
  <si>
    <r>
      <rPr>
        <sz val="10.5"/>
        <color theme="1"/>
        <rFont val="宋体"/>
        <family val="3"/>
        <charset val="134"/>
      </rPr>
      <t>最新分析师一致预期滚动</t>
    </r>
    <r>
      <rPr>
        <sz val="10.5"/>
        <color theme="1"/>
        <rFont val="Calibri"/>
        <family val="2"/>
      </rPr>
      <t>EP/1</t>
    </r>
    <r>
      <rPr>
        <sz val="10.5"/>
        <color theme="1"/>
        <rFont val="宋体"/>
        <family val="3"/>
        <charset val="134"/>
      </rPr>
      <t>月前分析师一致预期滚动</t>
    </r>
    <r>
      <rPr>
        <sz val="10.5"/>
        <color theme="1"/>
        <rFont val="Calibri"/>
        <family val="2"/>
      </rPr>
      <t>EP-1</t>
    </r>
    <r>
      <rPr>
        <sz val="10.5"/>
        <color theme="1"/>
        <rFont val="宋体"/>
        <family val="3"/>
        <charset val="134"/>
      </rPr>
      <t>。和</t>
    </r>
    <r>
      <rPr>
        <sz val="10.5"/>
        <color theme="1"/>
        <rFont val="Calibri"/>
        <family val="2"/>
      </rPr>
      <t>reversal_price</t>
    </r>
    <r>
      <rPr>
        <sz val="10.5"/>
        <color theme="1"/>
        <rFont val="宋体"/>
        <family val="3"/>
        <charset val="134"/>
      </rPr>
      <t>相关性达</t>
    </r>
    <r>
      <rPr>
        <sz val="10.5"/>
        <color theme="1"/>
        <rFont val="Calibri"/>
        <family val="2"/>
      </rPr>
      <t>0.7</t>
    </r>
    <r>
      <rPr>
        <sz val="10.5"/>
        <color theme="1"/>
        <rFont val="宋体"/>
        <family val="3"/>
        <charset val="134"/>
      </rPr>
      <t>，归入反转中</t>
    </r>
    <phoneticPr fontId="9" type="noConversion"/>
  </si>
  <si>
    <r>
      <rPr>
        <sz val="10.5"/>
        <color theme="1"/>
        <rFont val="宋体"/>
        <family val="3"/>
        <charset val="134"/>
      </rPr>
      <t>最新分析师一致预期滚动</t>
    </r>
    <r>
      <rPr>
        <sz val="10.5"/>
        <color theme="1"/>
        <rFont val="Calibri"/>
        <family val="2"/>
      </rPr>
      <t>SP/1</t>
    </r>
    <r>
      <rPr>
        <sz val="10.5"/>
        <color theme="1"/>
        <rFont val="宋体"/>
        <family val="3"/>
        <charset val="134"/>
      </rPr>
      <t>月前分析师一致预期滚动</t>
    </r>
    <r>
      <rPr>
        <sz val="10.5"/>
        <color theme="1"/>
        <rFont val="Calibri"/>
        <family val="2"/>
      </rPr>
      <t>SP-1</t>
    </r>
    <r>
      <rPr>
        <sz val="10.5"/>
        <color theme="1"/>
        <rFont val="宋体"/>
        <family val="3"/>
        <charset val="134"/>
      </rPr>
      <t>。和</t>
    </r>
    <r>
      <rPr>
        <sz val="10.5"/>
        <color theme="1"/>
        <rFont val="Calibri"/>
        <family val="2"/>
      </rPr>
      <t>reversal_price</t>
    </r>
    <r>
      <rPr>
        <sz val="10.5"/>
        <color theme="1"/>
        <rFont val="宋体"/>
        <family val="3"/>
        <charset val="134"/>
      </rPr>
      <t>相关性达</t>
    </r>
    <r>
      <rPr>
        <sz val="10.5"/>
        <color theme="1"/>
        <rFont val="Calibri"/>
        <family val="2"/>
      </rPr>
      <t>0.7</t>
    </r>
    <r>
      <rPr>
        <sz val="10.5"/>
        <color theme="1"/>
        <rFont val="宋体"/>
        <family val="3"/>
        <charset val="134"/>
      </rPr>
      <t>，归入反转中</t>
    </r>
    <phoneticPr fontId="9" type="noConversion"/>
  </si>
  <si>
    <r>
      <rPr>
        <sz val="10.5"/>
        <color theme="1"/>
        <rFont val="宋体"/>
        <family val="3"/>
        <charset val="134"/>
      </rPr>
      <t>最新分析师一致预期滚动</t>
    </r>
    <r>
      <rPr>
        <sz val="10.5"/>
        <color theme="1"/>
        <rFont val="Calibri"/>
        <family val="2"/>
      </rPr>
      <t>BP/3</t>
    </r>
    <r>
      <rPr>
        <sz val="10.5"/>
        <color theme="1"/>
        <rFont val="宋体"/>
        <family val="3"/>
        <charset val="134"/>
      </rPr>
      <t>月前分析师一致预期滚动</t>
    </r>
    <r>
      <rPr>
        <sz val="10.5"/>
        <color theme="1"/>
        <rFont val="Calibri"/>
        <family val="2"/>
      </rPr>
      <t>BP-1</t>
    </r>
    <r>
      <rPr>
        <sz val="10.5"/>
        <color theme="1"/>
        <rFont val="宋体"/>
        <family val="3"/>
        <charset val="134"/>
      </rPr>
      <t>。和</t>
    </r>
    <r>
      <rPr>
        <sz val="10.5"/>
        <color theme="1"/>
        <rFont val="Calibri"/>
        <family val="2"/>
      </rPr>
      <t>reversal_price</t>
    </r>
    <r>
      <rPr>
        <sz val="10.5"/>
        <color theme="1"/>
        <rFont val="宋体"/>
        <family val="3"/>
        <charset val="134"/>
      </rPr>
      <t>相关性达</t>
    </r>
    <r>
      <rPr>
        <sz val="10.5"/>
        <color theme="1"/>
        <rFont val="Calibri"/>
        <family val="2"/>
      </rPr>
      <t>0.7</t>
    </r>
    <r>
      <rPr>
        <sz val="10.5"/>
        <color theme="1"/>
        <rFont val="宋体"/>
        <family val="3"/>
        <charset val="134"/>
      </rPr>
      <t>，归入反转中</t>
    </r>
    <phoneticPr fontId="9" type="noConversion"/>
  </si>
  <si>
    <r>
      <rPr>
        <sz val="10.5"/>
        <color theme="1"/>
        <rFont val="宋体"/>
        <family val="3"/>
        <charset val="134"/>
      </rPr>
      <t>最新分析师一致预期滚动</t>
    </r>
    <r>
      <rPr>
        <sz val="10.5"/>
        <color theme="1"/>
        <rFont val="Calibri"/>
        <family val="2"/>
      </rPr>
      <t>EP/3</t>
    </r>
    <r>
      <rPr>
        <sz val="10.5"/>
        <color theme="1"/>
        <rFont val="宋体"/>
        <family val="3"/>
        <charset val="134"/>
      </rPr>
      <t>月前分析师一致预期滚动</t>
    </r>
    <r>
      <rPr>
        <sz val="10.5"/>
        <color theme="1"/>
        <rFont val="Calibri"/>
        <family val="2"/>
      </rPr>
      <t>EP-1</t>
    </r>
    <r>
      <rPr>
        <sz val="10.5"/>
        <color theme="1"/>
        <rFont val="宋体"/>
        <family val="3"/>
        <charset val="134"/>
      </rPr>
      <t>。和</t>
    </r>
    <r>
      <rPr>
        <sz val="10.5"/>
        <color theme="1"/>
        <rFont val="Calibri"/>
        <family val="2"/>
      </rPr>
      <t>reversal_price</t>
    </r>
    <r>
      <rPr>
        <sz val="10.5"/>
        <color theme="1"/>
        <rFont val="宋体"/>
        <family val="3"/>
        <charset val="134"/>
      </rPr>
      <t>相关性达</t>
    </r>
    <r>
      <rPr>
        <sz val="10.5"/>
        <color theme="1"/>
        <rFont val="Calibri"/>
        <family val="2"/>
      </rPr>
      <t>0.7</t>
    </r>
    <r>
      <rPr>
        <sz val="10.5"/>
        <color theme="1"/>
        <rFont val="宋体"/>
        <family val="3"/>
        <charset val="134"/>
      </rPr>
      <t>，归入反转中</t>
    </r>
    <phoneticPr fontId="9" type="noConversion"/>
  </si>
  <si>
    <r>
      <rPr>
        <sz val="10.5"/>
        <color theme="1"/>
        <rFont val="宋体"/>
        <family val="3"/>
        <charset val="134"/>
      </rPr>
      <t>最新分析师一致预期滚动</t>
    </r>
    <r>
      <rPr>
        <sz val="10.5"/>
        <color theme="1"/>
        <rFont val="Calibri"/>
        <family val="2"/>
      </rPr>
      <t>SP/3</t>
    </r>
    <r>
      <rPr>
        <sz val="10.5"/>
        <color theme="1"/>
        <rFont val="宋体"/>
        <family val="3"/>
        <charset val="134"/>
      </rPr>
      <t>月前分析师一致预期滚动</t>
    </r>
    <r>
      <rPr>
        <sz val="10.5"/>
        <color theme="1"/>
        <rFont val="Calibri"/>
        <family val="2"/>
      </rPr>
      <t>SP-1</t>
    </r>
    <r>
      <rPr>
        <sz val="10.5"/>
        <color theme="1"/>
        <rFont val="宋体"/>
        <family val="3"/>
        <charset val="134"/>
      </rPr>
      <t>。和</t>
    </r>
    <r>
      <rPr>
        <sz val="10.5"/>
        <color theme="1"/>
        <rFont val="Calibri"/>
        <family val="2"/>
      </rPr>
      <t>reversal_price</t>
    </r>
    <r>
      <rPr>
        <sz val="10.5"/>
        <color theme="1"/>
        <rFont val="宋体"/>
        <family val="3"/>
        <charset val="134"/>
      </rPr>
      <t>相关性达</t>
    </r>
    <r>
      <rPr>
        <sz val="10.5"/>
        <color theme="1"/>
        <rFont val="Calibri"/>
        <family val="2"/>
      </rPr>
      <t>0.7</t>
    </r>
    <r>
      <rPr>
        <sz val="10.5"/>
        <color theme="1"/>
        <rFont val="宋体"/>
        <family val="3"/>
        <charset val="134"/>
      </rPr>
      <t>，归入反转中</t>
    </r>
    <phoneticPr fontId="9" type="noConversion"/>
  </si>
  <si>
    <t>反转</t>
    <phoneticPr fontId="5" type="noConversion"/>
  </si>
  <si>
    <t>不变</t>
    <phoneticPr fontId="9" type="noConversion"/>
  </si>
  <si>
    <r>
      <t xml:space="preserve">rpegl=Z_SCORE(pegl, </t>
    </r>
    <r>
      <rPr>
        <sz val="10.5"/>
        <color theme="1"/>
        <rFont val="宋体"/>
        <family val="3"/>
        <charset val="134"/>
      </rPr>
      <t>最近一年</t>
    </r>
    <r>
      <rPr>
        <sz val="10.5"/>
        <color theme="1"/>
        <rFont val="Calibri"/>
        <family val="2"/>
      </rPr>
      <t>)</t>
    </r>
    <phoneticPr fontId="9" type="noConversion"/>
  </si>
  <si>
    <t>cvg1</t>
  </si>
  <si>
    <t>cvg2</t>
  </si>
  <si>
    <t>cvg3</t>
  </si>
  <si>
    <t>cvg_og1</t>
  </si>
  <si>
    <t>cvg_og2</t>
  </si>
  <si>
    <t>cvg_og3</t>
  </si>
  <si>
    <t>rank.ic</t>
  </si>
  <si>
    <t>rank.ic.ir</t>
  </si>
  <si>
    <t>coef.estimate</t>
  </si>
  <si>
    <t>coef.ir</t>
  </si>
  <si>
    <t>coef.t</t>
  </si>
  <si>
    <t>sig.coverage</t>
  </si>
  <si>
    <t>cor.with.pre.period</t>
  </si>
  <si>
    <t>darec</t>
  </si>
  <si>
    <t>darec_100_60</t>
  </si>
  <si>
    <t>darec_20_10</t>
  </si>
  <si>
    <t>darec_l</t>
  </si>
  <si>
    <t>darec_s</t>
  </si>
  <si>
    <t>darev</t>
  </si>
  <si>
    <t>darev_s</t>
  </si>
  <si>
    <t>drec</t>
  </si>
  <si>
    <t>eps_variability2</t>
  </si>
  <si>
    <t>grev3</t>
  </si>
  <si>
    <t>rec2</t>
  </si>
  <si>
    <t>recud</t>
  </si>
  <si>
    <t>recud_180_30</t>
  </si>
  <si>
    <t>recud_20_10</t>
  </si>
  <si>
    <t>recud_l</t>
  </si>
  <si>
    <t>recud_s</t>
  </si>
  <si>
    <t>rev12</t>
  </si>
  <si>
    <t>revud</t>
  </si>
  <si>
    <t>revud_120_60</t>
  </si>
  <si>
    <t>revuds</t>
  </si>
  <si>
    <t>revuds_l</t>
  </si>
  <si>
    <t>revudsratio</t>
  </si>
  <si>
    <t>revuds_s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</si>
  <si>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</si>
  <si>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</si>
  <si>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</si>
  <si>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</si>
  <si>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</si>
  <si>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</si>
  <si>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</si>
  <si>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</si>
  <si>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</si>
  <si>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</si>
  <si>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</si>
  <si>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min.date</t>
  </si>
  <si>
    <t>max.date</t>
  </si>
  <si>
    <t>period.count</t>
  </si>
  <si>
    <t>主题</t>
    <phoneticPr fontId="9" type="noConversion"/>
  </si>
  <si>
    <t>分析师</t>
    <phoneticPr fontId="9" type="noConversion"/>
  </si>
  <si>
    <t>是</t>
    <phoneticPr fontId="5" type="noConversion"/>
  </si>
  <si>
    <t>不变</t>
    <phoneticPr fontId="5" type="noConversion"/>
  </si>
  <si>
    <t>券商金股</t>
    <phoneticPr fontId="5" type="noConversion"/>
  </si>
  <si>
    <t>优化</t>
    <phoneticPr fontId="5" type="noConversion"/>
  </si>
  <si>
    <t>NA</t>
    <phoneticPr fontId="5" type="noConversion"/>
  </si>
  <si>
    <t>否</t>
    <phoneticPr fontId="5" type="noConversion"/>
  </si>
  <si>
    <t>cov</t>
    <phoneticPr fontId="5" type="noConversion"/>
  </si>
  <si>
    <t>cvg1</t>
    <phoneticPr fontId="9" type="noConversion"/>
  </si>
  <si>
    <r>
      <t>n</t>
    </r>
    <r>
      <rPr>
        <sz val="10.5"/>
        <rFont val="宋体"/>
        <family val="3"/>
        <charset val="134"/>
      </rPr>
      <t>个月覆盖度（同一机构不同日期算多次）</t>
    </r>
    <phoneticPr fontId="9" type="noConversion"/>
  </si>
  <si>
    <t>cvg</t>
    <phoneticPr fontId="9" type="noConversion"/>
  </si>
  <si>
    <t>删除</t>
    <phoneticPr fontId="5" type="noConversion"/>
  </si>
  <si>
    <r>
      <rPr>
        <sz val="10.5"/>
        <rFont val="宋体"/>
        <family val="3"/>
        <charset val="134"/>
      </rPr>
      <t>可以使用</t>
    </r>
    <r>
      <rPr>
        <sz val="10.5"/>
        <rFont val="Calibri"/>
        <family val="2"/>
      </rPr>
      <t>cvg_og</t>
    </r>
    <r>
      <rPr>
        <sz val="10.5"/>
        <rFont val="宋体"/>
        <family val="3"/>
        <charset val="134"/>
      </rPr>
      <t>，只考虑机构数，表现也更好一些。</t>
    </r>
    <phoneticPr fontId="5" type="noConversion"/>
  </si>
  <si>
    <t>cvg2</t>
    <phoneticPr fontId="9" type="noConversion"/>
  </si>
  <si>
    <t>n个月覆盖度（同一机构不同日期算多次）</t>
    <phoneticPr fontId="9" type="noConversion"/>
  </si>
  <si>
    <t>cvg3</t>
    <phoneticPr fontId="9" type="noConversion"/>
  </si>
  <si>
    <t>cvg_og1</t>
    <phoneticPr fontId="9" type="noConversion"/>
  </si>
  <si>
    <r>
      <t>1</t>
    </r>
    <r>
      <rPr>
        <sz val="10.5"/>
        <color theme="1"/>
        <rFont val="宋体"/>
        <family val="3"/>
        <charset val="134"/>
      </rPr>
      <t>个月覆盖度</t>
    </r>
    <r>
      <rPr>
        <sz val="10.5"/>
        <color theme="1"/>
        <rFont val="Calibri"/>
        <family val="2"/>
      </rPr>
      <t>,</t>
    </r>
    <r>
      <rPr>
        <sz val="10.5"/>
        <color theme="1"/>
        <rFont val="宋体"/>
        <family val="3"/>
        <charset val="134"/>
      </rPr>
      <t>机构数</t>
    </r>
    <phoneticPr fontId="9" type="noConversion"/>
  </si>
  <si>
    <t>cvg_og</t>
    <phoneticPr fontId="9" type="noConversion"/>
  </si>
  <si>
    <t>cvg_og2</t>
    <phoneticPr fontId="9" type="noConversion"/>
  </si>
  <si>
    <r>
      <t>2</t>
    </r>
    <r>
      <rPr>
        <sz val="10.5"/>
        <color theme="1"/>
        <rFont val="宋体"/>
        <family val="3"/>
        <charset val="134"/>
      </rPr>
      <t>个月覆盖度</t>
    </r>
    <r>
      <rPr>
        <sz val="10.5"/>
        <color theme="1"/>
        <rFont val="Calibri"/>
        <family val="2"/>
      </rPr>
      <t>,</t>
    </r>
    <r>
      <rPr>
        <sz val="10.5"/>
        <color theme="1"/>
        <rFont val="宋体"/>
        <family val="3"/>
        <charset val="134"/>
      </rPr>
      <t>机构数</t>
    </r>
    <phoneticPr fontId="9" type="noConversion"/>
  </si>
  <si>
    <t>cvg_og3</t>
    <phoneticPr fontId="9" type="noConversion"/>
  </si>
  <si>
    <t>3个月覆盖度,机构数</t>
    <phoneticPr fontId="9" type="noConversion"/>
  </si>
  <si>
    <t>是</t>
    <phoneticPr fontId="5" type="noConversion"/>
  </si>
  <si>
    <t>drec</t>
    <phoneticPr fontId="5" type="noConversion"/>
  </si>
  <si>
    <t>darec</t>
    <phoneticPr fontId="9" type="noConversion"/>
  </si>
  <si>
    <r>
      <rPr>
        <sz val="10.5"/>
        <color theme="1"/>
        <rFont val="宋体"/>
        <family val="3"/>
        <charset val="134"/>
      </rPr>
      <t>评级变动加权（</t>
    </r>
    <r>
      <rPr>
        <sz val="10.5"/>
        <color theme="1"/>
        <rFont val="Calibri"/>
        <family val="2"/>
      </rPr>
      <t>darec_l:</t>
    </r>
    <r>
      <rPr>
        <sz val="10.5"/>
        <color theme="1"/>
        <rFont val="宋体"/>
        <family val="3"/>
        <charset val="134"/>
      </rPr>
      <t>所有机构，</t>
    </r>
    <r>
      <rPr>
        <sz val="10.5"/>
        <color theme="1"/>
        <rFont val="Calibri"/>
        <family val="2"/>
      </rPr>
      <t>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60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 xml:space="preserve">;darec: </t>
    </r>
    <r>
      <rPr>
        <sz val="10.5"/>
        <color theme="1"/>
        <rFont val="宋体"/>
        <family val="3"/>
        <charset val="134"/>
      </rPr>
      <t>所有机构</t>
    </r>
    <r>
      <rPr>
        <sz val="10.5"/>
        <color theme="1"/>
        <rFont val="Calibri"/>
        <family val="2"/>
      </rPr>
      <t>,180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 xml:space="preserve">;darec_w: </t>
    </r>
    <r>
      <rPr>
        <sz val="10.5"/>
        <color theme="1"/>
        <rFont val="宋体"/>
        <family val="3"/>
        <charset val="134"/>
      </rPr>
      <t>所有机构，</t>
    </r>
    <r>
      <rPr>
        <sz val="10.5"/>
        <color theme="1"/>
        <rFont val="Calibri"/>
        <family val="2"/>
      </rPr>
      <t>90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;darec_s</t>
    </r>
    <r>
      <rPr>
        <sz val="10.5"/>
        <color theme="1"/>
        <rFont val="宋体"/>
        <family val="3"/>
        <charset val="134"/>
      </rPr>
      <t>）</t>
    </r>
    <phoneticPr fontId="9" type="noConversion"/>
  </si>
  <si>
    <t>代码合并，与darec_l相关性很高，不保存</t>
    <phoneticPr fontId="5" type="noConversion"/>
  </si>
  <si>
    <t>分析师</t>
    <phoneticPr fontId="5" type="noConversion"/>
  </si>
  <si>
    <t>drec</t>
    <phoneticPr fontId="5" type="noConversion"/>
  </si>
  <si>
    <t>darec_l</t>
    <phoneticPr fontId="9" type="noConversion"/>
  </si>
  <si>
    <r>
      <rPr>
        <sz val="10.5"/>
        <color theme="1"/>
        <rFont val="宋体"/>
        <family val="3"/>
        <charset val="134"/>
      </rPr>
      <t>评级变动加权（</t>
    </r>
    <r>
      <rPr>
        <sz val="10.5"/>
        <color theme="1"/>
        <rFont val="Calibri"/>
        <family val="2"/>
      </rPr>
      <t>darec_l:</t>
    </r>
    <r>
      <rPr>
        <sz val="10.5"/>
        <color theme="1"/>
        <rFont val="宋体"/>
        <family val="3"/>
        <charset val="134"/>
      </rPr>
      <t>所有机构，</t>
    </r>
    <r>
      <rPr>
        <sz val="10.5"/>
        <color theme="1"/>
        <rFont val="Calibri"/>
        <family val="2"/>
      </rPr>
      <t>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60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 xml:space="preserve">;darec: </t>
    </r>
    <r>
      <rPr>
        <sz val="10.5"/>
        <color theme="1"/>
        <rFont val="宋体"/>
        <family val="3"/>
        <charset val="134"/>
      </rPr>
      <t>所有机构</t>
    </r>
    <r>
      <rPr>
        <sz val="10.5"/>
        <color theme="1"/>
        <rFont val="Calibri"/>
        <family val="2"/>
      </rPr>
      <t>,180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 xml:space="preserve">;darec_w: </t>
    </r>
    <r>
      <rPr>
        <sz val="10.5"/>
        <color theme="1"/>
        <rFont val="宋体"/>
        <family val="3"/>
        <charset val="134"/>
      </rPr>
      <t>所有机构，</t>
    </r>
    <r>
      <rPr>
        <sz val="10.5"/>
        <color theme="1"/>
        <rFont val="Calibri"/>
        <family val="2"/>
      </rPr>
      <t>90</t>
    </r>
    <r>
      <rPr>
        <sz val="10.5"/>
        <color theme="1"/>
        <rFont val="宋体"/>
        <family val="3"/>
        <charset val="134"/>
      </rPr>
      <t>工作日，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;darec_s</t>
    </r>
    <r>
      <rPr>
        <sz val="10.5"/>
        <color theme="1"/>
        <rFont val="宋体"/>
        <family val="3"/>
        <charset val="134"/>
      </rPr>
      <t>）</t>
    </r>
    <phoneticPr fontId="9" type="noConversion"/>
  </si>
  <si>
    <t>darec</t>
    <phoneticPr fontId="9" type="noConversion"/>
  </si>
  <si>
    <t>是</t>
    <phoneticPr fontId="5" type="noConversion"/>
  </si>
  <si>
    <t>删除</t>
    <phoneticPr fontId="5" type="noConversion"/>
  </si>
  <si>
    <t>代码合并，使用100工作日，半衰期60工作日，改名darec100_60</t>
    <phoneticPr fontId="5" type="noConversion"/>
  </si>
  <si>
    <t>darec_s</t>
    <phoneticPr fontId="9" type="noConversion"/>
  </si>
  <si>
    <t>删除</t>
    <phoneticPr fontId="5" type="noConversion"/>
  </si>
  <si>
    <t>代码合并，使用20工作日，半衰期10工作日，改名为darec20_10，与darec80_30比较</t>
    <phoneticPr fontId="5" type="noConversion"/>
  </si>
  <si>
    <t>代码合并，使用100工作日，半衰期60工作日，改名darec100_60。替代原先的darec和darec_l, darec和darec_l两者相关性极高,合并。</t>
    <phoneticPr fontId="9" type="noConversion"/>
  </si>
  <si>
    <t>代码合并，替代darec和darec_l</t>
    <phoneticPr fontId="5" type="noConversion"/>
  </si>
  <si>
    <t>代码合并，使用20工作日，半衰期10工作日，改名为darec20_10，与darec80_30比较。替代原先darec_w和darec_s</t>
    <phoneticPr fontId="9" type="noConversion"/>
  </si>
  <si>
    <t>代码合并，替代darec_s</t>
    <phoneticPr fontId="5" type="noConversion"/>
  </si>
  <si>
    <r>
      <rPr>
        <sz val="10.5"/>
        <color theme="1"/>
        <rFont val="宋体"/>
        <family val="3"/>
        <charset val="134"/>
      </rPr>
      <t>盈利预测同比变化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总市值</t>
    </r>
    <r>
      <rPr>
        <sz val="10.5"/>
        <color theme="1"/>
        <rFont val="Calibri"/>
        <family val="2"/>
      </rPr>
      <t>(darev:90</t>
    </r>
    <r>
      <rPr>
        <sz val="10.5"/>
        <color theme="1"/>
        <rFont val="宋体"/>
        <family val="3"/>
        <charset val="134"/>
      </rPr>
      <t>天，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;darev_l: 120</t>
    </r>
    <r>
      <rPr>
        <sz val="10.5"/>
        <color theme="1"/>
        <rFont val="宋体"/>
        <family val="3"/>
        <charset val="134"/>
      </rPr>
      <t>天，</t>
    </r>
    <r>
      <rPr>
        <sz val="10.5"/>
        <color theme="1"/>
        <rFont val="Calibri"/>
        <family val="2"/>
      </rPr>
      <t>60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;darev_s: 40</t>
    </r>
    <r>
      <rPr>
        <sz val="10.5"/>
        <color theme="1"/>
        <rFont val="宋体"/>
        <family val="3"/>
        <charset val="134"/>
      </rPr>
      <t>天，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;</t>
    </r>
    <r>
      <rPr>
        <sz val="10.5"/>
        <color theme="1"/>
        <rFont val="宋体"/>
        <family val="3"/>
        <charset val="134"/>
      </rPr>
      <t>添加</t>
    </r>
    <r>
      <rPr>
        <sz val="10.5"/>
        <color theme="1"/>
        <rFont val="Calibri"/>
        <family val="2"/>
      </rPr>
      <t>darev_num_hl:num</t>
    </r>
    <r>
      <rPr>
        <sz val="10.5"/>
        <color theme="1"/>
        <rFont val="宋体"/>
        <family val="3"/>
        <charset val="134"/>
      </rPr>
      <t>工作日内的预测，</t>
    </r>
    <r>
      <rPr>
        <sz val="10.5"/>
        <color theme="1"/>
        <rFont val="Calibri"/>
        <family val="2"/>
      </rPr>
      <t>hl</t>
    </r>
    <r>
      <rPr>
        <sz val="10.5"/>
        <color theme="1"/>
        <rFont val="宋体"/>
        <family val="3"/>
        <charset val="134"/>
      </rPr>
      <t>半衰期加权</t>
    </r>
    <r>
      <rPr>
        <sz val="10.5"/>
        <color theme="1"/>
        <rFont val="Calibri"/>
        <family val="2"/>
      </rPr>
      <t>)</t>
    </r>
    <phoneticPr fontId="9" type="noConversion"/>
  </si>
  <si>
    <t>代码合并，与darev_l相关性很高,去掉，添加darev_60_20,不做比较</t>
    <phoneticPr fontId="5" type="noConversion"/>
  </si>
  <si>
    <t>darev_l</t>
    <phoneticPr fontId="9" type="noConversion"/>
  </si>
  <si>
    <t>代码合并，参数改为120工作日，半衰期60工作日，命名为darev_120_60,与80_40工作日比较</t>
    <phoneticPr fontId="5" type="noConversion"/>
  </si>
  <si>
    <t>darev_s</t>
    <phoneticPr fontId="9" type="noConversion"/>
  </si>
  <si>
    <t>代码合并，参数改为40工作日，半衰期10工作日，命名为darev_40_10,与20_10工作日比较</t>
    <phoneticPr fontId="5" type="noConversion"/>
  </si>
  <si>
    <r>
      <rPr>
        <sz val="10.5"/>
        <color theme="1"/>
        <rFont val="宋体"/>
        <family val="3"/>
        <charset val="134"/>
      </rPr>
      <t>代码合并，参数改为</t>
    </r>
    <r>
      <rPr>
        <sz val="10.5"/>
        <color theme="1"/>
        <rFont val="Calibri"/>
        <family val="2"/>
      </rPr>
      <t>120</t>
    </r>
    <r>
      <rPr>
        <sz val="10.5"/>
        <color theme="1"/>
        <rFont val="宋体"/>
        <family val="3"/>
        <charset val="134"/>
      </rPr>
      <t>工作日，半衰期</t>
    </r>
    <r>
      <rPr>
        <sz val="10.5"/>
        <color theme="1"/>
        <rFont val="Calibri"/>
        <family val="2"/>
      </rPr>
      <t>60</t>
    </r>
    <r>
      <rPr>
        <sz val="10.5"/>
        <color theme="1"/>
        <rFont val="宋体"/>
        <family val="3"/>
        <charset val="134"/>
      </rPr>
      <t>工作日，替代</t>
    </r>
    <r>
      <rPr>
        <sz val="10.5"/>
        <color theme="1"/>
        <rFont val="Calibri"/>
        <family val="2"/>
      </rPr>
      <t>darev_l</t>
    </r>
    <phoneticPr fontId="9" type="noConversion"/>
  </si>
  <si>
    <t>代码合并,替代drev_l</t>
    <phoneticPr fontId="5" type="noConversion"/>
  </si>
  <si>
    <t>darev_40_10</t>
    <phoneticPr fontId="9" type="noConversion"/>
  </si>
  <si>
    <r>
      <rPr>
        <sz val="10.5"/>
        <color theme="1"/>
        <rFont val="宋体"/>
        <family val="3"/>
        <charset val="134"/>
      </rPr>
      <t>代码合并，参数改为</t>
    </r>
    <r>
      <rPr>
        <sz val="10.5"/>
        <color theme="1"/>
        <rFont val="Calibri"/>
        <family val="2"/>
      </rPr>
      <t>40</t>
    </r>
    <r>
      <rPr>
        <sz val="10.5"/>
        <color theme="1"/>
        <rFont val="宋体"/>
        <family val="3"/>
        <charset val="134"/>
      </rPr>
      <t>工作日，半衰期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family val="3"/>
        <charset val="134"/>
      </rPr>
      <t>工作日，替代</t>
    </r>
    <r>
      <rPr>
        <sz val="10.5"/>
        <color theme="1"/>
        <rFont val="Calibri"/>
        <family val="2"/>
      </rPr>
      <t>darev_s</t>
    </r>
    <phoneticPr fontId="9" type="noConversion"/>
  </si>
  <si>
    <t>代码合并,替代drev_s</t>
    <phoneticPr fontId="5" type="noConversion"/>
  </si>
  <si>
    <r>
      <rPr>
        <sz val="10.5"/>
        <color theme="1"/>
        <rFont val="宋体"/>
        <family val="3"/>
        <charset val="134"/>
      </rPr>
      <t>代码合并，参数改为</t>
    </r>
    <r>
      <rPr>
        <sz val="10.5"/>
        <color theme="1"/>
        <rFont val="Calibri"/>
        <family val="2"/>
      </rPr>
      <t>60</t>
    </r>
    <r>
      <rPr>
        <sz val="10.5"/>
        <color theme="1"/>
        <rFont val="宋体"/>
        <family val="3"/>
        <charset val="134"/>
      </rPr>
      <t>工作日，半衰期</t>
    </r>
    <r>
      <rPr>
        <sz val="10.5"/>
        <color theme="1"/>
        <rFont val="Calibri"/>
        <family val="2"/>
      </rPr>
      <t>20</t>
    </r>
    <r>
      <rPr>
        <sz val="10.5"/>
        <color theme="1"/>
        <rFont val="宋体"/>
        <family val="3"/>
        <charset val="134"/>
      </rPr>
      <t>工作日，替代</t>
    </r>
    <r>
      <rPr>
        <sz val="10.5"/>
        <color theme="1"/>
        <rFont val="Calibri"/>
        <family val="2"/>
      </rPr>
      <t>darev</t>
    </r>
    <phoneticPr fontId="9" type="noConversion"/>
  </si>
  <si>
    <t>代码合并,替代drev</t>
    <phoneticPr fontId="5" type="noConversion"/>
  </si>
  <si>
    <t>最新一致预期评级变化,这个月评级-上个月</t>
    <phoneticPr fontId="9" type="noConversion"/>
  </si>
  <si>
    <t>否</t>
    <phoneticPr fontId="5" type="noConversion"/>
  </si>
  <si>
    <t>不变</t>
    <phoneticPr fontId="5" type="noConversion"/>
  </si>
  <si>
    <t>dispersion</t>
    <phoneticPr fontId="5" type="noConversion"/>
  </si>
  <si>
    <t>eps_variability2</t>
    <phoneticPr fontId="9" type="noConversion"/>
  </si>
  <si>
    <t>n个月分析师分歧度,至少3家覆盖</t>
    <phoneticPr fontId="9" type="noConversion"/>
  </si>
  <si>
    <t>eps_variability</t>
    <phoneticPr fontId="9" type="noConversion"/>
  </si>
  <si>
    <r>
      <rPr>
        <sz val="10.5"/>
        <color theme="1"/>
        <rFont val="宋体"/>
        <family val="3"/>
        <charset val="134"/>
      </rPr>
      <t>测试</t>
    </r>
    <r>
      <rPr>
        <sz val="10.5"/>
        <color theme="1"/>
        <rFont val="Calibri"/>
        <family val="2"/>
      </rPr>
      <t>1/2/3/6/9</t>
    </r>
    <r>
      <rPr>
        <sz val="10.5"/>
        <color theme="1"/>
        <rFont val="宋体"/>
        <family val="3"/>
        <charset val="134"/>
      </rPr>
      <t>个月</t>
    </r>
    <phoneticPr fontId="5" type="noConversion"/>
  </si>
  <si>
    <t>grev</t>
    <phoneticPr fontId="9" type="noConversion"/>
  </si>
  <si>
    <r>
      <rPr>
        <sz val="10.5"/>
        <rFont val="宋体"/>
        <family val="3"/>
        <charset val="134"/>
      </rPr>
      <t>测试了</t>
    </r>
    <r>
      <rPr>
        <sz val="10.5"/>
        <rFont val="Calibri"/>
        <family val="2"/>
      </rPr>
      <t>1-6</t>
    </r>
    <r>
      <rPr>
        <sz val="10.5"/>
        <rFont val="宋体"/>
        <family val="3"/>
        <charset val="134"/>
      </rPr>
      <t>个月，</t>
    </r>
    <r>
      <rPr>
        <sz val="10.5"/>
        <rFont val="Calibri"/>
        <family val="2"/>
      </rPr>
      <t>1</t>
    </r>
    <r>
      <rPr>
        <sz val="10.5"/>
        <rFont val="宋体"/>
        <family val="3"/>
        <charset val="134"/>
      </rPr>
      <t>、</t>
    </r>
    <r>
      <rPr>
        <sz val="10.5"/>
        <rFont val="Calibri"/>
        <family val="2"/>
      </rPr>
      <t>6</t>
    </r>
    <r>
      <rPr>
        <sz val="10.5"/>
        <rFont val="宋体"/>
        <family val="3"/>
        <charset val="134"/>
      </rPr>
      <t>明显差一些，其他差别不大</t>
    </r>
    <phoneticPr fontId="5" type="noConversion"/>
  </si>
  <si>
    <t>rec</t>
    <phoneticPr fontId="5" type="noConversion"/>
  </si>
  <si>
    <t>intretp</t>
    <phoneticPr fontId="9" type="noConversion"/>
  </si>
  <si>
    <t>内部分析师,1个月内调入或调出的、持有的分别打分</t>
    <phoneticPr fontId="9" type="noConversion"/>
  </si>
  <si>
    <t>海通，环比增长率指标。例如，Con_EPS_rel表示Con_EPS环比增长率，即本月一致预期EPS/前一个月一致预期EPS-1</t>
    <phoneticPr fontId="9" type="noConversion"/>
  </si>
  <si>
    <t>mom_con_forcast</t>
    <phoneticPr fontId="9" type="noConversion"/>
  </si>
  <si>
    <r>
      <rPr>
        <sz val="10.5"/>
        <color theme="1"/>
        <rFont val="宋体"/>
        <family val="3"/>
        <charset val="134"/>
      </rPr>
      <t>测试了</t>
    </r>
    <r>
      <rPr>
        <sz val="10.5"/>
        <color theme="1"/>
        <rFont val="Calibri"/>
        <family val="2"/>
      </rPr>
      <t>1-6</t>
    </r>
    <r>
      <rPr>
        <sz val="10.5"/>
        <color theme="1"/>
        <rFont val="宋体"/>
        <family val="3"/>
        <charset val="134"/>
      </rPr>
      <t>个月，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个月明显差一些，其他差不多</t>
    </r>
    <phoneticPr fontId="5" type="noConversion"/>
  </si>
  <si>
    <t>rec</t>
    <phoneticPr fontId="9" type="noConversion"/>
  </si>
  <si>
    <r>
      <rPr>
        <sz val="10.5"/>
        <color theme="1"/>
        <rFont val="宋体"/>
        <family val="3"/>
        <charset val="134"/>
      </rPr>
      <t>最新一致预期评级</t>
    </r>
    <r>
      <rPr>
        <sz val="10.5"/>
        <color theme="1"/>
        <rFont val="Calibri"/>
        <family val="2"/>
      </rPr>
      <t>(</t>
    </r>
    <r>
      <rPr>
        <sz val="9"/>
        <color rgb="FF333333"/>
        <rFont val="Arial"/>
        <family val="2"/>
      </rPr>
      <t>90</t>
    </r>
    <r>
      <rPr>
        <sz val="9"/>
        <color rgb="FF333333"/>
        <rFont val="等线"/>
        <family val="3"/>
        <charset val="134"/>
        <scheme val="minor"/>
      </rPr>
      <t>天内</t>
    </r>
    <r>
      <rPr>
        <sz val="9"/>
        <color rgb="FF333333"/>
        <rFont val="等线"/>
        <family val="2"/>
        <scheme val="minor"/>
      </rPr>
      <t>3</t>
    </r>
    <r>
      <rPr>
        <sz val="9"/>
        <color rgb="FF333333"/>
        <rFont val="等线"/>
        <family val="3"/>
        <charset val="134"/>
        <scheme val="minor"/>
      </rPr>
      <t>家加权计算</t>
    </r>
    <r>
      <rPr>
        <sz val="9"/>
        <color rgb="FF333333"/>
        <rFont val="Arial"/>
        <family val="2"/>
      </rPr>
      <t>)</t>
    </r>
    <phoneticPr fontId="9" type="noConversion"/>
  </si>
  <si>
    <r>
      <rPr>
        <sz val="10.5"/>
        <color theme="1"/>
        <rFont val="宋体"/>
        <family val="3"/>
        <charset val="134"/>
      </rPr>
      <t>相关性很高，保存覆盖度更高的</t>
    </r>
    <r>
      <rPr>
        <sz val="10.5"/>
        <color theme="1"/>
        <rFont val="Calibri"/>
        <family val="2"/>
      </rPr>
      <t>rec2</t>
    </r>
    <phoneticPr fontId="5" type="noConversion"/>
  </si>
  <si>
    <t>rec2</t>
    <phoneticPr fontId="9" type="noConversion"/>
  </si>
  <si>
    <r>
      <rPr>
        <sz val="10.5"/>
        <color theme="1"/>
        <rFont val="宋体"/>
        <family val="3"/>
        <charset val="134"/>
      </rPr>
      <t>最新一致预期评级</t>
    </r>
    <r>
      <rPr>
        <sz val="10.5"/>
        <color theme="1"/>
        <rFont val="Calibri"/>
        <family val="2"/>
      </rPr>
      <t>(</t>
    </r>
    <r>
      <rPr>
        <sz val="9"/>
        <color rgb="FF333333"/>
        <rFont val="Arial"/>
        <family val="2"/>
      </rPr>
      <t>90</t>
    </r>
    <r>
      <rPr>
        <sz val="9"/>
        <color rgb="FF333333"/>
        <rFont val="等线"/>
        <family val="3"/>
        <charset val="134"/>
        <scheme val="minor"/>
      </rPr>
      <t>天内</t>
    </r>
    <r>
      <rPr>
        <sz val="9"/>
        <color rgb="FF333333"/>
        <rFont val="Arial"/>
        <family val="2"/>
      </rPr>
      <t>1</t>
    </r>
    <r>
      <rPr>
        <sz val="9"/>
        <color rgb="FF333333"/>
        <rFont val="等线"/>
        <family val="3"/>
        <charset val="134"/>
        <scheme val="minor"/>
      </rPr>
      <t>家加权计算</t>
    </r>
    <r>
      <rPr>
        <sz val="9"/>
        <color rgb="FF333333"/>
        <rFont val="Arial"/>
        <family val="2"/>
      </rPr>
      <t>)</t>
    </r>
    <phoneticPr fontId="9" type="noConversion"/>
  </si>
  <si>
    <t>不变</t>
    <phoneticPr fontId="5" type="noConversion"/>
  </si>
  <si>
    <t>分析师</t>
    <phoneticPr fontId="5" type="noConversion"/>
  </si>
  <si>
    <t>drec</t>
    <phoneticPr fontId="5" type="noConversion"/>
  </si>
  <si>
    <t>recud</t>
    <phoneticPr fontId="9" type="noConversion"/>
  </si>
  <si>
    <t>评级方向加权(recud:180工作日，30半衰期;recud_l: 180工作日，60半衰期;recud_s: 180工作日，10半衰期)</t>
    <phoneticPr fontId="9" type="noConversion"/>
  </si>
  <si>
    <t>代码合并,使用recud_180_30</t>
    <phoneticPr fontId="5" type="noConversion"/>
  </si>
  <si>
    <t>recud_l</t>
    <phoneticPr fontId="9" type="noConversion"/>
  </si>
  <si>
    <t>代码合并,与recud相关性高，不保存</t>
    <phoneticPr fontId="5" type="noConversion"/>
  </si>
  <si>
    <t>代码合并,使用recud_20_10</t>
    <phoneticPr fontId="5" type="noConversion"/>
  </si>
  <si>
    <r>
      <rPr>
        <sz val="10.5"/>
        <color theme="1"/>
        <rFont val="宋体"/>
        <family val="3"/>
        <charset val="134"/>
      </rPr>
      <t>过去</t>
    </r>
    <r>
      <rPr>
        <sz val="10.5"/>
        <color theme="1"/>
        <rFont val="Calibri"/>
        <family val="2"/>
      </rPr>
      <t>20</t>
    </r>
    <r>
      <rPr>
        <sz val="10.5"/>
        <color theme="1"/>
        <rFont val="宋体"/>
        <family val="3"/>
        <charset val="134"/>
      </rPr>
      <t>天盈利一致预测相比前一天加权变化值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根据分数目调整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总市值</t>
    </r>
    <phoneticPr fontId="9" type="noConversion"/>
  </si>
  <si>
    <t>revud</t>
    <phoneticPr fontId="9" type="noConversion"/>
  </si>
  <si>
    <t>盈利预测方向变化(revud:90天,15半衰期)，相对一致预期</t>
    <phoneticPr fontId="9" type="noConversion"/>
  </si>
  <si>
    <r>
      <rPr>
        <sz val="10.5"/>
        <color theme="1"/>
        <rFont val="宋体"/>
        <family val="3"/>
        <charset val="134"/>
      </rPr>
      <t>遍历参数，名称改为</t>
    </r>
    <r>
      <rPr>
        <sz val="10.5"/>
        <color theme="1"/>
        <rFont val="Calibri"/>
        <family val="2"/>
      </rPr>
      <t>revud_120_60,</t>
    </r>
    <r>
      <rPr>
        <sz val="10.5"/>
        <color theme="1"/>
        <rFont val="宋体"/>
        <family val="3"/>
        <charset val="134"/>
      </rPr>
      <t>与</t>
    </r>
    <r>
      <rPr>
        <sz val="10.5"/>
        <color theme="1"/>
        <rFont val="Calibri"/>
        <family val="2"/>
      </rPr>
      <t>revud_60_10</t>
    </r>
    <r>
      <rPr>
        <sz val="10.5"/>
        <color theme="1"/>
        <rFont val="宋体"/>
        <family val="3"/>
        <charset val="134"/>
      </rPr>
      <t>工作日比较</t>
    </r>
    <phoneticPr fontId="5" type="noConversion"/>
  </si>
  <si>
    <r>
      <rPr>
        <sz val="10.5"/>
        <color theme="1"/>
        <rFont val="宋体"/>
        <family val="3"/>
        <charset val="134"/>
      </rPr>
      <t>盈利预测方向变化</t>
    </r>
    <r>
      <rPr>
        <sz val="10.5"/>
        <color theme="1"/>
        <rFont val="Calibri"/>
        <family val="2"/>
      </rPr>
      <t>(revud:120</t>
    </r>
    <r>
      <rPr>
        <sz val="10.5"/>
        <color theme="1"/>
        <rFont val="宋体"/>
        <family val="3"/>
        <charset val="134"/>
      </rPr>
      <t>天</t>
    </r>
    <r>
      <rPr>
        <sz val="10.5"/>
        <color theme="1"/>
        <rFont val="Calibri"/>
        <family val="2"/>
      </rPr>
      <t>,60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，相对一致预期</t>
    </r>
    <phoneticPr fontId="9" type="noConversion"/>
  </si>
  <si>
    <t>代码合并,与revuds相关性很高,去掉，添加revuds_60_20,不做比较</t>
    <phoneticPr fontId="5" type="noConversion"/>
  </si>
  <si>
    <t>代码合并,参数改为120工作日，半衰期60工作日，命名为revuds_120_60,与80_40工作日比较,相关性很高，选了了个参数长一点的</t>
    <phoneticPr fontId="5" type="noConversion"/>
  </si>
  <si>
    <t>revuds_s</t>
    <phoneticPr fontId="9" type="noConversion"/>
  </si>
  <si>
    <t>代码合并，参数改为40工作日，半衰期10工作日，命名为revuds_40_10,与20_10工作日比较,为了和长期互补，选了时间短一点的</t>
    <phoneticPr fontId="5" type="noConversion"/>
  </si>
  <si>
    <t>revuds_40_10</t>
    <phoneticPr fontId="9" type="noConversion"/>
  </si>
  <si>
    <t>revuds_60_20</t>
    <phoneticPr fontId="9" type="noConversion"/>
  </si>
  <si>
    <t>NA</t>
    <phoneticPr fontId="5" type="noConversion"/>
  </si>
  <si>
    <t>对1-4个月进行遍历，从覆盖度和表现上目前3个月合理。替代cvg</t>
    <phoneticPr fontId="5" type="noConversion"/>
  </si>
  <si>
    <t>代码合并，替代recud_s</t>
    <phoneticPr fontId="5" type="noConversion"/>
  </si>
  <si>
    <t>代码合并，替代recud和recud_l</t>
    <phoneticPr fontId="5" type="noConversion"/>
  </si>
  <si>
    <r>
      <rPr>
        <sz val="10.5"/>
        <color theme="1"/>
        <rFont val="宋体"/>
        <family val="3"/>
        <charset val="134"/>
      </rPr>
      <t>盈利预测方向变化，盈利变动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总市值，调整到</t>
    </r>
    <r>
      <rPr>
        <sz val="10.5"/>
        <color theme="1"/>
        <rFont val="Calibri"/>
        <family val="2"/>
      </rPr>
      <t>-2—2</t>
    </r>
    <r>
      <rPr>
        <sz val="10.5"/>
        <color theme="1"/>
        <rFont val="宋体"/>
        <family val="3"/>
        <charset val="134"/>
      </rPr>
      <t>，分为</t>
    </r>
    <r>
      <rPr>
        <sz val="10.5"/>
        <color theme="1"/>
        <rFont val="Calibri"/>
        <family val="2"/>
      </rPr>
      <t>up,down(revuds_l:120</t>
    </r>
    <r>
      <rPr>
        <sz val="10.5"/>
        <color theme="1"/>
        <rFont val="宋体"/>
        <family val="3"/>
        <charset val="134"/>
      </rPr>
      <t>天，</t>
    </r>
    <r>
      <rPr>
        <sz val="10.5"/>
        <color theme="1"/>
        <rFont val="Calibri"/>
        <family val="2"/>
      </rPr>
      <t>60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;revuds: 90</t>
    </r>
    <r>
      <rPr>
        <sz val="10.5"/>
        <color theme="1"/>
        <rFont val="宋体"/>
        <family val="3"/>
        <charset val="134"/>
      </rPr>
      <t>天，</t>
    </r>
    <r>
      <rPr>
        <sz val="10.5"/>
        <color theme="1"/>
        <rFont val="Calibri"/>
        <family val="2"/>
      </rPr>
      <t>30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;revuds_s: 60</t>
    </r>
    <r>
      <rPr>
        <sz val="10.5"/>
        <color theme="1"/>
        <rFont val="宋体"/>
        <family val="3"/>
        <charset val="134"/>
      </rPr>
      <t>天，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family val="3"/>
        <charset val="134"/>
      </rPr>
      <t>半衰期</t>
    </r>
    <r>
      <rPr>
        <sz val="10.5"/>
        <color theme="1"/>
        <rFont val="Calibri"/>
        <family val="2"/>
      </rPr>
      <t>)</t>
    </r>
    <phoneticPr fontId="9" type="noConversion"/>
  </si>
  <si>
    <r>
      <rPr>
        <sz val="10.5"/>
        <color theme="1"/>
        <rFont val="宋体"/>
        <family val="3"/>
        <charset val="134"/>
      </rPr>
      <t>代码合并，参数改为</t>
    </r>
    <r>
      <rPr>
        <sz val="10.5"/>
        <color theme="1"/>
        <rFont val="Calibri"/>
        <family val="2"/>
      </rPr>
      <t>40</t>
    </r>
    <r>
      <rPr>
        <sz val="10.5"/>
        <color theme="1"/>
        <rFont val="宋体"/>
        <family val="3"/>
        <charset val="134"/>
      </rPr>
      <t>工作日，半衰期</t>
    </r>
    <r>
      <rPr>
        <sz val="10.5"/>
        <color theme="1"/>
        <rFont val="Calibri"/>
        <family val="2"/>
      </rPr>
      <t>10</t>
    </r>
    <r>
      <rPr>
        <sz val="10.5"/>
        <color theme="1"/>
        <rFont val="宋体"/>
        <family val="3"/>
        <charset val="134"/>
      </rPr>
      <t>工作日，命名为</t>
    </r>
    <r>
      <rPr>
        <sz val="10.5"/>
        <color theme="1"/>
        <rFont val="Calibri"/>
        <family val="2"/>
      </rPr>
      <t>revuds_40_10,</t>
    </r>
    <r>
      <rPr>
        <sz val="10.5"/>
        <color theme="1"/>
        <rFont val="宋体"/>
        <family val="3"/>
        <charset val="134"/>
      </rPr>
      <t>与</t>
    </r>
    <r>
      <rPr>
        <sz val="10.5"/>
        <color theme="1"/>
        <rFont val="Calibri"/>
        <family val="2"/>
      </rPr>
      <t>20_10</t>
    </r>
    <r>
      <rPr>
        <sz val="10.5"/>
        <color theme="1"/>
        <rFont val="宋体"/>
        <family val="3"/>
        <charset val="134"/>
      </rPr>
      <t>工作日比较</t>
    </r>
    <r>
      <rPr>
        <sz val="10.5"/>
        <color theme="1"/>
        <rFont val="Calibri"/>
        <family val="2"/>
      </rPr>
      <t>,</t>
    </r>
    <r>
      <rPr>
        <sz val="10.5"/>
        <color theme="1"/>
        <rFont val="宋体"/>
        <family val="3"/>
        <charset val="134"/>
      </rPr>
      <t>为了和长期互补，选了时间短一点的。</t>
    </r>
    <phoneticPr fontId="9" type="noConversion"/>
  </si>
  <si>
    <t>从10到200,10到60遍历所有信号表现。从长、中、短的互补及相关性考虑，构建信号。替代原先的revuds</t>
    <phoneticPr fontId="5" type="noConversion"/>
  </si>
  <si>
    <t>从10到200,10到60遍历所有信号表现。从长、中、短的互补及相关性考虑，构建信号。替代原先的revuds_s</t>
    <phoneticPr fontId="5" type="noConversion"/>
  </si>
  <si>
    <t>从10到200,10到60遍历所有信号表现。从长、中、短的互补及相关性考虑，构建信号。替代原先的revuds_l</t>
    <phoneticPr fontId="5" type="noConversion"/>
  </si>
  <si>
    <t>NA</t>
    <phoneticPr fontId="5" type="noConversion"/>
  </si>
  <si>
    <t>aeb2ev</t>
  </si>
  <si>
    <t>b2p</t>
  </si>
  <si>
    <t>b2paddcor20</t>
  </si>
  <si>
    <t>cfo2ev</t>
  </si>
  <si>
    <t>cfo2p</t>
  </si>
  <si>
    <t>con_pb_roll</t>
  </si>
  <si>
    <t>con_pe_roll</t>
  </si>
  <si>
    <t>con_ps_roll</t>
  </si>
  <si>
    <t>d2p</t>
  </si>
  <si>
    <t>e2p</t>
  </si>
  <si>
    <t>fy12p</t>
  </si>
  <si>
    <t>fy23p</t>
  </si>
  <si>
    <t>ke2p</t>
  </si>
  <si>
    <t>nb2p</t>
  </si>
  <si>
    <t>ne2p</t>
  </si>
  <si>
    <t>nsale2ev</t>
  </si>
  <si>
    <t>s12ev</t>
  </si>
  <si>
    <t>s12evaddcor20</t>
  </si>
  <si>
    <t>s23ev</t>
  </si>
  <si>
    <t>sale2ev</t>
  </si>
  <si>
    <t>sale2evaddcor20</t>
  </si>
  <si>
    <t>sale2p</t>
  </si>
  <si>
    <t>ta2ev</t>
  </si>
  <si>
    <t>不变</t>
    <phoneticPr fontId="9" type="noConversion"/>
  </si>
  <si>
    <t>NA</t>
    <phoneticPr fontId="5" type="noConversion"/>
  </si>
  <si>
    <t>不变</t>
    <phoneticPr fontId="5" type="noConversion"/>
  </si>
  <si>
    <t>b2paddcor20</t>
    <phoneticPr fontId="9" type="noConversion"/>
  </si>
  <si>
    <r>
      <rPr>
        <sz val="10.5"/>
        <color theme="1"/>
        <rFont val="宋体"/>
        <family val="3"/>
        <charset val="134"/>
      </rPr>
      <t>市净率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市净率相关度量</t>
    </r>
    <phoneticPr fontId="9" type="noConversion"/>
  </si>
  <si>
    <t>新增</t>
    <phoneticPr fontId="9" type="noConversion"/>
  </si>
  <si>
    <r>
      <t>sale2ev-</t>
    </r>
    <r>
      <rPr>
        <sz val="10.5"/>
        <color theme="1"/>
        <rFont val="宋体"/>
        <family val="3"/>
        <charset val="134"/>
      </rPr>
      <t>相关</t>
    </r>
    <phoneticPr fontId="9" type="noConversion"/>
  </si>
  <si>
    <r>
      <t>s12ev-</t>
    </r>
    <r>
      <rPr>
        <sz val="10.5"/>
        <color theme="1"/>
        <rFont val="宋体"/>
        <family val="3"/>
        <charset val="134"/>
      </rPr>
      <t>相关度量</t>
    </r>
    <phoneticPr fontId="9" type="noConversion"/>
  </si>
  <si>
    <t>cfo2p</t>
    <phoneticPr fontId="5" type="noConversion"/>
  </si>
  <si>
    <t>ke2p</t>
    <phoneticPr fontId="5" type="noConversion"/>
  </si>
  <si>
    <t>s2ev</t>
    <phoneticPr fontId="9" type="noConversion"/>
  </si>
  <si>
    <t>sale2p</t>
    <phoneticPr fontId="5" type="noConversion"/>
  </si>
  <si>
    <t>否</t>
    <phoneticPr fontId="5" type="noConversion"/>
  </si>
  <si>
    <r>
      <t>2017</t>
    </r>
    <r>
      <rPr>
        <sz val="10.5"/>
        <color theme="1"/>
        <rFont val="宋体"/>
        <family val="3"/>
        <charset val="134"/>
      </rPr>
      <t>年及之前较</t>
    </r>
    <r>
      <rPr>
        <sz val="10.5"/>
        <color theme="1"/>
        <rFont val="Calibri"/>
        <family val="2"/>
      </rPr>
      <t>pb/pe/ps</t>
    </r>
    <r>
      <rPr>
        <sz val="10.5"/>
        <color theme="1"/>
        <rFont val="宋体"/>
        <family val="3"/>
        <charset val="134"/>
      </rPr>
      <t>等好，之后不行，怀疑朝阳永续对历史数据做过优化</t>
    </r>
    <phoneticPr fontId="5" type="noConversion"/>
  </si>
  <si>
    <t>e2p</t>
    <phoneticPr fontId="5" type="noConversion"/>
  </si>
  <si>
    <r>
      <rPr>
        <sz val="10.5"/>
        <color theme="1"/>
        <rFont val="宋体"/>
        <family val="3"/>
        <charset val="134"/>
      </rPr>
      <t>表现看，不如</t>
    </r>
    <r>
      <rPr>
        <sz val="10.5"/>
        <color theme="1"/>
        <rFont val="Calibri"/>
        <family val="2"/>
      </rPr>
      <t>ne2p</t>
    </r>
    <phoneticPr fontId="5" type="noConversion"/>
  </si>
  <si>
    <t>nb2p</t>
    <phoneticPr fontId="5" type="noConversion"/>
  </si>
  <si>
    <t>质量</t>
    <phoneticPr fontId="5" type="noConversion"/>
  </si>
  <si>
    <t>quality_cashflow</t>
    <phoneticPr fontId="5" type="noConversion"/>
  </si>
  <si>
    <t>abacc</t>
    <phoneticPr fontId="9" type="noConversion"/>
  </si>
  <si>
    <r>
      <t>计算方法同</t>
    </r>
    <r>
      <rPr>
        <sz val="10.5"/>
        <color theme="1"/>
        <rFont val="Calibri"/>
        <family val="2"/>
      </rPr>
      <t>abaccall</t>
    </r>
    <r>
      <rPr>
        <sz val="10.5"/>
        <color theme="1"/>
        <rFont val="宋体"/>
        <family val="3"/>
        <charset val="134"/>
      </rPr>
      <t>，但剔除了营业利润为负的个股</t>
    </r>
    <phoneticPr fontId="9" type="noConversion"/>
  </si>
  <si>
    <t>abaccall</t>
    <phoneticPr fontId="9" type="noConversion"/>
  </si>
  <si>
    <t>acc1</t>
    <phoneticPr fontId="9" type="noConversion"/>
  </si>
  <si>
    <t>acca</t>
    <phoneticPr fontId="9" type="noConversion"/>
  </si>
  <si>
    <r>
      <t>(TTM(</t>
    </r>
    <r>
      <rPr>
        <sz val="10.5"/>
        <color theme="1"/>
        <rFont val="宋体"/>
        <family val="3"/>
        <charset val="134"/>
      </rPr>
      <t>经营性现金流</t>
    </r>
    <r>
      <rPr>
        <sz val="10.5"/>
        <color theme="1"/>
        <rFont val="Calibri"/>
        <family val="2"/>
      </rPr>
      <t>)-TTM(</t>
    </r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>))/YMean(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)</t>
    </r>
    <phoneticPr fontId="9" type="noConversion"/>
  </si>
  <si>
    <t>质量</t>
    <phoneticPr fontId="5" type="noConversion"/>
  </si>
  <si>
    <t>quality_safety</t>
    <phoneticPr fontId="5" type="noConversion"/>
  </si>
  <si>
    <t>bab</t>
    <phoneticPr fontId="9" type="noConversion"/>
  </si>
  <si>
    <r>
      <t>相对市场的</t>
    </r>
    <r>
      <rPr>
        <sz val="10.5"/>
        <color theme="1"/>
        <rFont val="Calibri"/>
        <family val="2"/>
      </rPr>
      <t>-beta</t>
    </r>
    <phoneticPr fontId="9" type="noConversion"/>
  </si>
  <si>
    <r>
      <t>2017</t>
    </r>
    <r>
      <rPr>
        <sz val="10.5"/>
        <color theme="1"/>
        <rFont val="宋体"/>
        <family val="3"/>
        <charset val="134"/>
      </rPr>
      <t>年新增</t>
    </r>
    <phoneticPr fontId="5" type="noConversion"/>
  </si>
  <si>
    <t>liqy</t>
    <phoneticPr fontId="5" type="noConversion"/>
  </si>
  <si>
    <t>quality_cashflow</t>
    <phoneticPr fontId="5" type="noConversion"/>
  </si>
  <si>
    <t>ccr</t>
    <phoneticPr fontId="9" type="noConversion"/>
  </si>
  <si>
    <t>20190829新增</t>
    <phoneticPr fontId="5" type="noConversion"/>
  </si>
  <si>
    <t>xiaowt</t>
    <phoneticPr fontId="5" type="noConversion"/>
  </si>
  <si>
    <t>ccrd</t>
    <phoneticPr fontId="9" type="noConversion"/>
  </si>
  <si>
    <t>cd2d</t>
    <phoneticPr fontId="9" type="noConversion"/>
  </si>
  <si>
    <t>cfovol2a</t>
    <phoneticPr fontId="9" type="noConversion"/>
  </si>
  <si>
    <r>
      <t>现金流波动率</t>
    </r>
    <r>
      <rPr>
        <sz val="10.5"/>
        <color theme="1"/>
        <rFont val="Calibri"/>
        <family val="2"/>
      </rPr>
      <t>=5</t>
    </r>
    <r>
      <rPr>
        <sz val="10.5"/>
        <color theme="1"/>
        <rFont val="宋体"/>
        <family val="3"/>
        <charset val="134"/>
      </rPr>
      <t>年现金流波动率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平均总资产</t>
    </r>
    <phoneticPr fontId="9" type="noConversion"/>
  </si>
  <si>
    <t>cr</t>
    <phoneticPr fontId="9" type="noConversion"/>
  </si>
  <si>
    <t>现金比率=(现金+交易性金融资产)/流动负债</t>
    <phoneticPr fontId="9" type="noConversion"/>
  </si>
  <si>
    <t>crd</t>
    <phoneticPr fontId="9" type="noConversion"/>
  </si>
  <si>
    <t>cur</t>
    <phoneticPr fontId="9" type="noConversion"/>
  </si>
  <si>
    <t>流动比率=流动资产/流动负债</t>
    <phoneticPr fontId="9" type="noConversion"/>
  </si>
  <si>
    <t>curd</t>
    <phoneticPr fontId="9" type="noConversion"/>
  </si>
  <si>
    <t>当期流动比率-上期流动比率，流动比率=流动资产/流动负债</t>
    <phoneticPr fontId="9" type="noConversion"/>
  </si>
  <si>
    <t>quality_profit</t>
    <phoneticPr fontId="5" type="noConversion"/>
  </si>
  <si>
    <t>dcfoa</t>
    <phoneticPr fontId="9" type="noConversion"/>
  </si>
  <si>
    <t>depad</t>
    <phoneticPr fontId="9" type="noConversion"/>
  </si>
  <si>
    <t>dgmar</t>
    <phoneticPr fontId="9" type="noConversion"/>
  </si>
  <si>
    <r>
      <t>（营业利润</t>
    </r>
    <r>
      <rPr>
        <sz val="10.5"/>
        <color theme="1"/>
        <rFont val="Calibri"/>
        <family val="2"/>
      </rPr>
      <t>-5</t>
    </r>
    <r>
      <rPr>
        <sz val="10.5"/>
        <color theme="1"/>
        <rFont val="宋体"/>
        <family val="3"/>
        <charset val="134"/>
      </rPr>
      <t>年前营业利润）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总收入</t>
    </r>
    <phoneticPr fontId="9" type="noConversion"/>
  </si>
  <si>
    <t>dgpoa</t>
    <phoneticPr fontId="9" type="noConversion"/>
  </si>
  <si>
    <r>
      <t>（营业利润</t>
    </r>
    <r>
      <rPr>
        <sz val="10.5"/>
        <color theme="1"/>
        <rFont val="Calibri"/>
        <family val="2"/>
      </rPr>
      <t>-5</t>
    </r>
    <r>
      <rPr>
        <sz val="10.5"/>
        <color theme="1"/>
        <rFont val="宋体"/>
        <family val="3"/>
        <charset val="134"/>
      </rPr>
      <t>年前营业利润）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总资产</t>
    </r>
    <phoneticPr fontId="9" type="noConversion"/>
  </si>
  <si>
    <t>quality_manage</t>
    <phoneticPr fontId="5" type="noConversion"/>
  </si>
  <si>
    <t>dirn</t>
    <phoneticPr fontId="9" type="noConversion"/>
  </si>
  <si>
    <t>董事会委员数量</t>
    <phoneticPr fontId="9" type="noConversion"/>
  </si>
  <si>
    <t>droa</t>
    <phoneticPr fontId="9" type="noConversion"/>
  </si>
  <si>
    <r>
      <t>（营业利润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财务费用</t>
    </r>
    <r>
      <rPr>
        <sz val="10.5"/>
        <color theme="1"/>
        <rFont val="Calibri"/>
        <family val="2"/>
      </rPr>
      <t>-5</t>
    </r>
    <r>
      <rPr>
        <sz val="10.5"/>
        <color theme="1"/>
        <rFont val="宋体"/>
        <family val="3"/>
        <charset val="134"/>
      </rPr>
      <t>年前营业利润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财务费用）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总资产</t>
    </r>
    <phoneticPr fontId="9" type="noConversion"/>
  </si>
  <si>
    <t>droe</t>
    <phoneticPr fontId="9" type="noConversion"/>
  </si>
  <si>
    <r>
      <t>（净利润</t>
    </r>
    <r>
      <rPr>
        <sz val="10.5"/>
        <color theme="1"/>
        <rFont val="Calibri"/>
        <family val="2"/>
      </rPr>
      <t>-5</t>
    </r>
    <r>
      <rPr>
        <sz val="10.5"/>
        <color theme="1"/>
        <rFont val="宋体"/>
        <family val="3"/>
        <charset val="134"/>
      </rPr>
      <t>年前净利润）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所有者权益</t>
    </r>
    <phoneticPr fontId="9" type="noConversion"/>
  </si>
  <si>
    <t>dygpoa</t>
    <phoneticPr fontId="9" type="noConversion"/>
  </si>
  <si>
    <t>e2c_q</t>
    <phoneticPr fontId="9" type="noConversion"/>
  </si>
  <si>
    <r>
      <t>季度净利润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营业总成本</t>
    </r>
    <phoneticPr fontId="9" type="noConversion"/>
  </si>
  <si>
    <t>evol</t>
    <phoneticPr fontId="9" type="noConversion"/>
  </si>
  <si>
    <t>evol2a</t>
    <phoneticPr fontId="9" type="noConversion"/>
  </si>
  <si>
    <t>fcf</t>
    <phoneticPr fontId="9" type="noConversion"/>
  </si>
  <si>
    <t>ffsp</t>
    <phoneticPr fontId="9" type="noConversion"/>
  </si>
  <si>
    <r>
      <t>流通股本数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总股本数</t>
    </r>
    <phoneticPr fontId="9" type="noConversion"/>
  </si>
  <si>
    <t>fhp</t>
    <phoneticPr fontId="9" type="noConversion"/>
  </si>
  <si>
    <r>
      <t>第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大股东持股比例</t>
    </r>
    <phoneticPr fontId="9" type="noConversion"/>
  </si>
  <si>
    <t>gmar</t>
    <phoneticPr fontId="9" type="noConversion"/>
  </si>
  <si>
    <t>gpm_q</t>
    <phoneticPr fontId="9" type="noConversion"/>
  </si>
  <si>
    <r>
      <t>季度（营业总收入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营业成本）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营业总收入</t>
    </r>
    <phoneticPr fontId="9" type="noConversion"/>
  </si>
  <si>
    <t>gpoa</t>
    <phoneticPr fontId="9" type="noConversion"/>
  </si>
  <si>
    <t>intcov</t>
    <phoneticPr fontId="9" type="noConversion"/>
  </si>
  <si>
    <t>invt</t>
    <phoneticPr fontId="9" type="noConversion"/>
  </si>
  <si>
    <t>存货周转率=营业成本/平均存货余额</t>
    <phoneticPr fontId="9" type="noConversion"/>
  </si>
  <si>
    <t>lic</t>
    <phoneticPr fontId="5" type="noConversion"/>
  </si>
  <si>
    <t>invtd</t>
    <phoneticPr fontId="9" type="noConversion"/>
  </si>
  <si>
    <t>当期存货周转率-上期存货周转率，存货周转率=营业成本/平均存货余额</t>
    <phoneticPr fontId="9" type="noConversion"/>
  </si>
  <si>
    <t>knp2np_q</t>
    <phoneticPr fontId="9" type="noConversion"/>
  </si>
  <si>
    <r>
      <t>季度扣非净利润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净利润</t>
    </r>
    <phoneticPr fontId="9" type="noConversion"/>
  </si>
  <si>
    <t>lev</t>
    <phoneticPr fontId="9" type="noConversion"/>
  </si>
  <si>
    <r>
      <t>-(</t>
    </r>
    <r>
      <rPr>
        <sz val="10.5"/>
        <color theme="1"/>
        <rFont val="宋体"/>
        <family val="3"/>
        <charset val="134"/>
      </rPr>
      <t>短期借款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长期借款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少数股东权益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其他权益工具优先股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总资产</t>
    </r>
    <phoneticPr fontId="9" type="noConversion"/>
  </si>
  <si>
    <t>mginc3</t>
    <phoneticPr fontId="9" type="noConversion"/>
  </si>
  <si>
    <t>管理层最新的前三薪酬之和</t>
    <phoneticPr fontId="9" type="noConversion"/>
  </si>
  <si>
    <t>mgincome</t>
    <phoneticPr fontId="9" type="noConversion"/>
  </si>
  <si>
    <t>管理层最新的总薪酬</t>
    <phoneticPr fontId="9" type="noConversion"/>
  </si>
  <si>
    <t>mgshr</t>
    <phoneticPr fontId="9" type="noConversion"/>
  </si>
  <si>
    <t>管理层最新的总持股数量数据</t>
    <phoneticPr fontId="9" type="noConversion"/>
  </si>
  <si>
    <t>o</t>
    <phoneticPr fontId="9" type="noConversion"/>
  </si>
  <si>
    <r>
      <t>9</t>
    </r>
    <r>
      <rPr>
        <sz val="10.5"/>
        <color theme="1"/>
        <rFont val="宋体"/>
        <family val="3"/>
        <charset val="134"/>
      </rPr>
      <t>项杠杆指标衡量破产概率</t>
    </r>
    <phoneticPr fontId="9" type="noConversion"/>
  </si>
  <si>
    <r>
      <t>2017</t>
    </r>
    <r>
      <rPr>
        <sz val="10.5"/>
        <color theme="1"/>
        <rFont val="宋体"/>
        <family val="3"/>
        <charset val="134"/>
      </rPr>
      <t>年新增</t>
    </r>
    <phoneticPr fontId="5" type="noConversion"/>
  </si>
  <si>
    <t>liqy</t>
    <phoneticPr fontId="5" type="noConversion"/>
  </si>
  <si>
    <t>质量</t>
    <phoneticPr fontId="5" type="noConversion"/>
  </si>
  <si>
    <t>quality_cashflow</t>
    <phoneticPr fontId="5" type="noConversion"/>
  </si>
  <si>
    <t>ocf2sale_q</t>
    <phoneticPr fontId="9" type="noConversion"/>
  </si>
  <si>
    <t>ocf2ta</t>
    <phoneticPr fontId="9" type="noConversion"/>
  </si>
  <si>
    <t>quality_manage</t>
    <phoneticPr fontId="5" type="noConversion"/>
  </si>
  <si>
    <t>ocfa</t>
    <phoneticPr fontId="9" type="noConversion"/>
  </si>
  <si>
    <t>产能利用率提升=z_score(营业总成本)在z_score(固定资产)上滚动回归取最近一期残差，回归窗口8个季度</t>
    <phoneticPr fontId="9" type="noConversion"/>
  </si>
  <si>
    <t>20190829新增</t>
    <phoneticPr fontId="5" type="noConversion"/>
  </si>
  <si>
    <t>lic</t>
    <phoneticPr fontId="5" type="noConversion"/>
  </si>
  <si>
    <t>quality_profit</t>
    <phoneticPr fontId="5" type="noConversion"/>
  </si>
  <si>
    <t>op2tp_q</t>
    <phoneticPr fontId="9" type="noConversion"/>
  </si>
  <si>
    <r>
      <t>季度营业利润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总利润</t>
    </r>
    <phoneticPr fontId="9" type="noConversion"/>
  </si>
  <si>
    <t>pio</t>
    <phoneticPr fontId="9" type="noConversion"/>
  </si>
  <si>
    <t>qr</t>
    <phoneticPr fontId="9" type="noConversion"/>
  </si>
  <si>
    <t>速动比率=(流动资产-存货-1年内到期的非流动资产-待摊费用-预付款)/流动负债</t>
    <phoneticPr fontId="9" type="noConversion"/>
  </si>
  <si>
    <t>xiaowt</t>
    <phoneticPr fontId="5" type="noConversion"/>
  </si>
  <si>
    <t>qrd</t>
    <phoneticPr fontId="9" type="noConversion"/>
  </si>
  <si>
    <t>rat</t>
    <phoneticPr fontId="9" type="noConversion"/>
  </si>
  <si>
    <t>应收周转率=营业收入/(应收账款+应收票据)</t>
    <phoneticPr fontId="9" type="noConversion"/>
  </si>
  <si>
    <t>ratd</t>
    <phoneticPr fontId="9" type="noConversion"/>
  </si>
  <si>
    <t>当期应收周转率-上期应收周转率，应收周转率=营业收入/(应收账款+应收票据)</t>
    <phoneticPr fontId="9" type="noConversion"/>
  </si>
  <si>
    <t>roa</t>
    <phoneticPr fontId="9" type="noConversion"/>
  </si>
  <si>
    <r>
      <t>扣非</t>
    </r>
    <r>
      <rPr>
        <sz val="10.5"/>
        <color theme="1"/>
        <rFont val="Calibri"/>
        <family val="2"/>
      </rPr>
      <t>roa=(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其他经营收益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平均总资产</t>
    </r>
    <phoneticPr fontId="9" type="noConversion"/>
  </si>
  <si>
    <t>roa_q</t>
    <phoneticPr fontId="9" type="noConversion"/>
  </si>
  <si>
    <t>roe</t>
    <phoneticPr fontId="9" type="noConversion"/>
  </si>
  <si>
    <r>
      <t>归母公司净利润（</t>
    </r>
    <r>
      <rPr>
        <sz val="10.5"/>
        <color theme="1"/>
        <rFont val="Calibri"/>
        <family val="2"/>
      </rPr>
      <t>TTM)/</t>
    </r>
    <r>
      <rPr>
        <sz val="10.5"/>
        <color theme="1"/>
        <rFont val="宋体"/>
        <family val="3"/>
        <charset val="134"/>
      </rPr>
      <t>归母公司所有者权益</t>
    </r>
    <phoneticPr fontId="9" type="noConversion"/>
  </si>
  <si>
    <t>roe_q</t>
    <phoneticPr fontId="9" type="noConversion"/>
  </si>
  <si>
    <r>
      <t>季度净利润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股东权益</t>
    </r>
    <phoneticPr fontId="9" type="noConversion"/>
  </si>
  <si>
    <t>roic</t>
    <phoneticPr fontId="9" type="noConversion"/>
  </si>
  <si>
    <r>
      <t>(EBIT-TAX)/(</t>
    </r>
    <r>
      <rPr>
        <sz val="10.5"/>
        <color theme="1"/>
        <rFont val="宋体"/>
        <family val="3"/>
        <charset val="134"/>
      </rPr>
      <t>股东权益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有息负债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现金等价物</t>
    </r>
    <r>
      <rPr>
        <sz val="10.5"/>
        <color theme="1"/>
        <rFont val="Calibri"/>
        <family val="2"/>
      </rPr>
      <t>)</t>
    </r>
    <phoneticPr fontId="9" type="noConversion"/>
  </si>
  <si>
    <t>shn</t>
    <phoneticPr fontId="9" type="noConversion"/>
  </si>
  <si>
    <t>股东总数</t>
    <phoneticPr fontId="9" type="noConversion"/>
  </si>
  <si>
    <t>sthp</t>
    <phoneticPr fontId="9" type="noConversion"/>
  </si>
  <si>
    <r>
      <t>第</t>
    </r>
    <r>
      <rPr>
        <sz val="10.5"/>
        <color theme="1"/>
        <rFont val="Calibri"/>
        <family val="2"/>
      </rPr>
      <t>2-10</t>
    </r>
    <r>
      <rPr>
        <sz val="10.5"/>
        <color theme="1"/>
        <rFont val="宋体"/>
        <family val="3"/>
        <charset val="134"/>
      </rPr>
      <t>大股东持股比例</t>
    </r>
    <phoneticPr fontId="9" type="noConversion"/>
  </si>
  <si>
    <t>sugm</t>
    <phoneticPr fontId="9" type="noConversion"/>
  </si>
  <si>
    <t>quality_safety</t>
    <phoneticPr fontId="5" type="noConversion"/>
  </si>
  <si>
    <t>svol2a</t>
    <phoneticPr fontId="9" type="noConversion"/>
  </si>
  <si>
    <r>
      <t>营业收入波动率</t>
    </r>
    <r>
      <rPr>
        <sz val="10.5"/>
        <color theme="1"/>
        <rFont val="Calibri"/>
        <family val="2"/>
      </rPr>
      <t>=5</t>
    </r>
    <r>
      <rPr>
        <sz val="10.5"/>
        <color theme="1"/>
        <rFont val="宋体"/>
        <family val="3"/>
        <charset val="134"/>
      </rPr>
      <t>年营业收入波动率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平均总资产</t>
    </r>
    <phoneticPr fontId="9" type="noConversion"/>
  </si>
  <si>
    <t>tat</t>
    <phoneticPr fontId="9" type="noConversion"/>
  </si>
  <si>
    <t>总资产周转率=营业收入/总资产</t>
    <phoneticPr fontId="9" type="noConversion"/>
  </si>
  <si>
    <t>tatd</t>
    <phoneticPr fontId="9" type="noConversion"/>
  </si>
  <si>
    <t>当期总资产周转率-上期总资产周转率，总资产周转率=营业收入/总资产</t>
    <phoneticPr fontId="9" type="noConversion"/>
  </si>
  <si>
    <t>ar_over</t>
  </si>
  <si>
    <t>ar_over1</t>
  </si>
  <si>
    <t>cfg_ttm</t>
  </si>
  <si>
    <t>con_npcgrate_2y_roll</t>
  </si>
  <si>
    <t>con_np_yoy_roll</t>
  </si>
  <si>
    <t>con_or_yoy_roll</t>
  </si>
  <si>
    <t>con_peg_roll</t>
  </si>
  <si>
    <t>da2a</t>
  </si>
  <si>
    <t>da2ev</t>
  </si>
  <si>
    <t>dafc2ia</t>
  </si>
  <si>
    <t>de2e</t>
  </si>
  <si>
    <t>de2p</t>
  </si>
  <si>
    <t>dqop2qcpbe</t>
  </si>
  <si>
    <t>ds2ev</t>
  </si>
  <si>
    <t>ds2p</t>
  </si>
  <si>
    <t>ds2s</t>
  </si>
  <si>
    <t>egibs</t>
  </si>
  <si>
    <t>egro3</t>
  </si>
  <si>
    <t>epsg_ttm</t>
  </si>
  <si>
    <t>fes1</t>
  </si>
  <si>
    <t>fes2</t>
  </si>
  <si>
    <t>ffretn</t>
  </si>
  <si>
    <t>ffretnind1</t>
  </si>
  <si>
    <t>fg1</t>
  </si>
  <si>
    <t>fg2</t>
  </si>
  <si>
    <t>kfes1</t>
  </si>
  <si>
    <t>kqdroa</t>
  </si>
  <si>
    <t>kqdroe</t>
  </si>
  <si>
    <t>nds2ev</t>
  </si>
  <si>
    <t>nfes1</t>
  </si>
  <si>
    <t>npegl</t>
  </si>
  <si>
    <t>npegs</t>
  </si>
  <si>
    <t>npg_q</t>
  </si>
  <si>
    <t>nqcsg</t>
  </si>
  <si>
    <t>nqdroe</t>
  </si>
  <si>
    <t>opg_q</t>
  </si>
  <si>
    <t>pegl</t>
  </si>
  <si>
    <t>pegs</t>
  </si>
  <si>
    <t>qcsg</t>
  </si>
  <si>
    <t>qdroa</t>
  </si>
  <si>
    <t>qdroe</t>
  </si>
  <si>
    <t>qe_stb</t>
  </si>
  <si>
    <t>qop2qlgae</t>
  </si>
  <si>
    <t>qop_acc</t>
  </si>
  <si>
    <t>qop_dsd</t>
  </si>
  <si>
    <t>qop_stb</t>
  </si>
  <si>
    <t>qor_acc</t>
  </si>
  <si>
    <t>qor_dsd</t>
  </si>
  <si>
    <t>qor_stb</t>
  </si>
  <si>
    <t>qtor2qtoc</t>
  </si>
  <si>
    <t>reg_con_np1</t>
  </si>
  <si>
    <t>reg_con_or</t>
  </si>
  <si>
    <t>reg_con_or1</t>
  </si>
  <si>
    <t>rgrowth</t>
  </si>
  <si>
    <t>roeg_ttm</t>
  </si>
  <si>
    <t>rqnp_rqcpbe</t>
  </si>
  <si>
    <t>rqop_rcpg</t>
  </si>
  <si>
    <t>rqop_rqcpbe</t>
  </si>
  <si>
    <t>rqop_rqlgae</t>
  </si>
  <si>
    <t>rrqop_qcpacf</t>
  </si>
  <si>
    <t>rrqop_qncfoa</t>
  </si>
  <si>
    <t>smarg</t>
  </si>
  <si>
    <t>sue</t>
  </si>
  <si>
    <t>suoi</t>
  </si>
  <si>
    <t>supad</t>
  </si>
  <si>
    <t>sup_con_np</t>
  </si>
  <si>
    <t>sus</t>
  </si>
  <si>
    <t>不变</t>
    <phoneticPr fontId="5" type="noConversion"/>
  </si>
  <si>
    <t>qor_stb</t>
    <phoneticPr fontId="9" type="noConversion"/>
  </si>
  <si>
    <t>新增</t>
    <phoneticPr fontId="5" type="noConversion"/>
  </si>
  <si>
    <t>相关字段</t>
    <phoneticPr fontId="5" type="noConversion"/>
  </si>
  <si>
    <t>字段类别</t>
    <phoneticPr fontId="5" type="noConversion"/>
  </si>
  <si>
    <t>net_cash_flows_oper_act</t>
  </si>
  <si>
    <t>TTM</t>
    <phoneticPr fontId="5" type="noConversion"/>
  </si>
  <si>
    <t>滚动一致预期净利润同比增长率</t>
    <phoneticPr fontId="5" type="noConversion"/>
  </si>
  <si>
    <t>con_np_yoy_roll</t>
    <phoneticPr fontId="5" type="noConversion"/>
  </si>
  <si>
    <t>con_forecast_roll_stk</t>
  </si>
  <si>
    <t>con_npcgrate_2y_roll</t>
    <phoneticPr fontId="9" type="noConversion"/>
  </si>
  <si>
    <t>con_npcgrate_2y_roll</t>
    <phoneticPr fontId="5" type="noConversion"/>
  </si>
  <si>
    <t>滚动一致预期净利润两年符合增长率</t>
    <phoneticPr fontId="9" type="noConversion"/>
  </si>
  <si>
    <t>con_or_yoy_roll</t>
    <phoneticPr fontId="9" type="noConversion"/>
  </si>
  <si>
    <t>con_or_yoy_roll</t>
    <phoneticPr fontId="5" type="noConversion"/>
  </si>
  <si>
    <t>con_peg_roll</t>
    <phoneticPr fontId="9" type="noConversion"/>
  </si>
  <si>
    <t>con_peg_roll</t>
    <phoneticPr fontId="5" type="noConversion"/>
  </si>
  <si>
    <t>总资产季度环比增长率,(F-L1Q_F)/L1Q_F</t>
    <phoneticPr fontId="9" type="noConversion"/>
  </si>
  <si>
    <t>tot_shrhldr_eqy_excl_min_int</t>
  </si>
  <si>
    <t>RAW</t>
    <phoneticPr fontId="5" type="noConversion"/>
  </si>
  <si>
    <t>tot_assets</t>
    <phoneticPr fontId="5" type="noConversion"/>
  </si>
  <si>
    <t>总资产年度同比变化/EV, (F-L1Y_F)/EV</t>
    <phoneticPr fontId="9" type="noConversion"/>
  </si>
  <si>
    <t>net_profit_excl_min_int_inc</t>
  </si>
  <si>
    <t>net_profit_excl_min_int_inc</t>
    <phoneticPr fontId="5" type="noConversion"/>
  </si>
  <si>
    <t>TTM净利润（不含少数股东权益）同比增长率，(TTM(F)-TTM(L1Y_F))/abs(TTM(L1Y_F))</t>
    <phoneticPr fontId="9" type="noConversion"/>
  </si>
  <si>
    <t>Q</t>
    <phoneticPr fontId="5" type="noConversion"/>
  </si>
  <si>
    <r>
      <rPr>
        <sz val="10.5"/>
        <color theme="1"/>
        <rFont val="宋体"/>
        <family val="3"/>
        <charset val="134"/>
      </rPr>
      <t>季度净利润同比变化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最新总市值，</t>
    </r>
    <r>
      <rPr>
        <sz val="10.5"/>
        <color theme="1"/>
        <rFont val="Calibri"/>
        <family val="2"/>
      </rPr>
      <t xml:space="preserve"> (Q(</t>
    </r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>)  - L1Y_Q(</t>
    </r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>))/</t>
    </r>
    <r>
      <rPr>
        <sz val="10.5"/>
        <color theme="1"/>
        <rFont val="宋体"/>
        <family val="3"/>
        <charset val="134"/>
      </rPr>
      <t>总市值</t>
    </r>
    <phoneticPr fontId="9" type="noConversion"/>
  </si>
  <si>
    <t>季度营业收入同比变化/EV, (Q(营业收入)-L1Y_Q(营业收入))/EV</t>
    <phoneticPr fontId="9" type="noConversion"/>
  </si>
  <si>
    <t>oper_rev</t>
  </si>
  <si>
    <r>
      <rPr>
        <sz val="10.5"/>
        <color theme="1"/>
        <rFont val="宋体"/>
        <family val="3"/>
        <charset val="134"/>
      </rPr>
      <t>营业收入同比变化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总市值</t>
    </r>
    <r>
      <rPr>
        <sz val="10.5"/>
        <color theme="1"/>
        <rFont val="Calibri"/>
        <family val="2"/>
      </rPr>
      <t>, (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-L1Y_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总市值</t>
    </r>
    <phoneticPr fontId="9" type="noConversion"/>
  </si>
  <si>
    <r>
      <t>TTM</t>
    </r>
    <r>
      <rPr>
        <sz val="10.5"/>
        <color theme="1"/>
        <rFont val="宋体"/>
        <family val="3"/>
        <charset val="134"/>
      </rPr>
      <t>经营性现金流净额同比增长率</t>
    </r>
    <r>
      <rPr>
        <sz val="10.5"/>
        <color theme="1"/>
        <rFont val="Calibri"/>
        <family val="2"/>
      </rPr>
      <t>,(TTM(F) - (L1Y_TTM(F)))/abs(L1Y_TTM(F))</t>
    </r>
    <phoneticPr fontId="9" type="noConversion"/>
  </si>
  <si>
    <t>一致预期净利润增长率，(明年一致预期净利润均值-当年一致预期净利润均值)/abs(当年一致预期净利润均值)。</t>
    <phoneticPr fontId="9" type="noConversion"/>
  </si>
  <si>
    <t>con_np</t>
  </si>
  <si>
    <t>con_forecast_stk</t>
  </si>
  <si>
    <r>
      <t>TTM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Calibri"/>
        <family val="2"/>
      </rPr>
      <t>EPS</t>
    </r>
    <r>
      <rPr>
        <sz val="10.5"/>
        <color theme="1"/>
        <rFont val="宋体"/>
        <family val="3"/>
        <charset val="134"/>
      </rPr>
      <t>）同比变化。</t>
    </r>
    <r>
      <rPr>
        <sz val="10.5"/>
        <color theme="1"/>
        <rFont val="Calibri"/>
        <family val="2"/>
      </rPr>
      <t>(TTM</t>
    </r>
    <r>
      <rPr>
        <sz val="10.5"/>
        <color theme="1"/>
        <rFont val="宋体"/>
        <family val="3"/>
        <charset val="134"/>
      </rPr>
      <t>（净利润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</rPr>
      <t>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总股本</t>
    </r>
    <r>
      <rPr>
        <sz val="10.5"/>
        <color theme="1"/>
        <rFont val="Calibri"/>
        <family val="2"/>
      </rPr>
      <t>-L1Y_TTM</t>
    </r>
    <r>
      <rPr>
        <sz val="10.5"/>
        <color theme="1"/>
        <rFont val="宋体"/>
        <family val="3"/>
        <charset val="134"/>
      </rPr>
      <t>（净利润）</t>
    </r>
    <r>
      <rPr>
        <sz val="10.5"/>
        <color theme="1"/>
        <rFont val="Calibri"/>
        <family val="2"/>
      </rPr>
      <t>/L1Y_</t>
    </r>
    <r>
      <rPr>
        <sz val="10.5"/>
        <color theme="1"/>
        <rFont val="宋体"/>
        <family val="3"/>
        <charset val="134"/>
      </rPr>
      <t>总股本。删除掉一年间股本扩大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倍以上的。</t>
    </r>
    <phoneticPr fontId="9" type="noConversion"/>
  </si>
  <si>
    <t>net_profit_incl_min_int_inc</t>
    <phoneticPr fontId="5" type="noConversion"/>
  </si>
  <si>
    <t>net_profit_incl_min_int_inc,total_assets</t>
    <phoneticPr fontId="5" type="noConversion"/>
  </si>
  <si>
    <t>pay_all_typ_tax,total_assets</t>
    <phoneticPr fontId="5" type="noConversion"/>
  </si>
  <si>
    <r>
      <rPr>
        <sz val="10.5"/>
        <color theme="1"/>
        <rFont val="宋体"/>
        <family val="3"/>
        <charset val="134"/>
      </rPr>
      <t>每股季度支付的各项税费同比变化占每股总资产比例，</t>
    </r>
    <r>
      <rPr>
        <sz val="10.5"/>
        <color theme="1"/>
        <rFont val="Calibri"/>
        <family val="2"/>
      </rPr>
      <t>fes2=(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支付的各项税费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总股本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去年同期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支付的各项税费</t>
    </r>
    <r>
      <rPr>
        <sz val="10.5"/>
        <color theme="1"/>
        <rFont val="Calibri"/>
        <family val="2"/>
      </rPr>
      <t>))/</t>
    </r>
    <r>
      <rPr>
        <sz val="10.5"/>
        <color theme="1"/>
        <rFont val="宋体"/>
        <family val="3"/>
        <charset val="134"/>
      </rPr>
      <t>去年同期总股本</t>
    </r>
    <r>
      <rPr>
        <sz val="10.5"/>
        <color theme="1"/>
        <rFont val="Calibri"/>
        <family val="2"/>
      </rPr>
      <t>)/(</t>
    </r>
    <r>
      <rPr>
        <sz val="10.5"/>
        <color theme="1"/>
        <rFont val="宋体"/>
        <family val="3"/>
        <charset val="134"/>
      </rPr>
      <t>去年同期总资产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去年同期总股本</t>
    </r>
    <r>
      <rPr>
        <sz val="10.5"/>
        <color theme="1"/>
        <rFont val="Calibri"/>
        <family val="2"/>
      </rPr>
      <t>)</t>
    </r>
    <phoneticPr fontId="9" type="noConversion"/>
  </si>
  <si>
    <t>Q</t>
    <phoneticPr fontId="5" type="noConversion"/>
  </si>
  <si>
    <t>Q</t>
    <phoneticPr fontId="5" type="noConversion"/>
  </si>
  <si>
    <t>TTM</t>
    <phoneticPr fontId="5" type="noConversion"/>
  </si>
  <si>
    <r>
      <rPr>
        <sz val="10.5"/>
        <color theme="1"/>
        <rFont val="宋体"/>
        <family val="3"/>
        <charset val="134"/>
      </rPr>
      <t>过去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年净利润回归计算得到的增长率，年报每股净利润对时间的回归系数除以平均净利润绝对值</t>
    </r>
    <r>
      <rPr>
        <sz val="10.5"/>
        <color theme="1"/>
        <rFont val="Calibri"/>
        <family val="2"/>
      </rPr>
      <t>,</t>
    </r>
    <r>
      <rPr>
        <sz val="10.5"/>
        <color theme="1"/>
        <rFont val="宋体"/>
        <family val="3"/>
        <charset val="134"/>
      </rPr>
      <t>对因变量进行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倍中位数调整。只取年报数据</t>
    </r>
    <phoneticPr fontId="9" type="noConversion"/>
  </si>
  <si>
    <r>
      <rPr>
        <sz val="10.5"/>
        <color theme="1"/>
        <rFont val="宋体"/>
        <family val="3"/>
        <charset val="134"/>
      </rPr>
      <t>过去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年净利润回归计算得到的增长率，年报每股净利润对时间的回归系数除以平均净利润绝对值</t>
    </r>
    <r>
      <rPr>
        <sz val="10.5"/>
        <color theme="1"/>
        <rFont val="Calibri"/>
        <family val="2"/>
      </rPr>
      <t>,</t>
    </r>
    <r>
      <rPr>
        <sz val="10.5"/>
        <color theme="1"/>
        <rFont val="宋体"/>
        <family val="3"/>
        <charset val="134"/>
      </rPr>
      <t>对因变量进行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倍中位数调整。只取年报数据</t>
    </r>
    <phoneticPr fontId="9" type="noConversion"/>
  </si>
  <si>
    <t>fg</t>
    <phoneticPr fontId="9" type="noConversion"/>
  </si>
  <si>
    <r>
      <t>((NetProtif_Forecast-NetProfit)/abs(NetProfit)+1)^(1/N)-1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N=1</t>
    </r>
    <r>
      <rPr>
        <sz val="10.5"/>
        <color theme="1"/>
        <rFont val="宋体"/>
        <family val="3"/>
        <charset val="134"/>
      </rPr>
      <t>。只用年报数据</t>
    </r>
    <phoneticPr fontId="9" type="noConversion"/>
  </si>
  <si>
    <r>
      <t>((NetProtif_Forecast-NetProfit)/abs(NetProfit)+1)^(1/N)-1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N=2</t>
    </r>
    <r>
      <rPr>
        <sz val="10.5"/>
        <color theme="1"/>
        <rFont val="宋体"/>
        <family val="3"/>
        <charset val="134"/>
      </rPr>
      <t>。只用年报数据</t>
    </r>
    <phoneticPr fontId="9" type="noConversion"/>
  </si>
  <si>
    <r>
      <t>((NetProtif_Forecast-NetProfit)/abs(NetProfit)+1)^(1/N)-1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N=3</t>
    </r>
    <r>
      <rPr>
        <sz val="10.5"/>
        <color theme="1"/>
        <rFont val="宋体"/>
        <family val="3"/>
        <charset val="134"/>
      </rPr>
      <t>。只用年报数据</t>
    </r>
    <phoneticPr fontId="9" type="noConversion"/>
  </si>
  <si>
    <r>
      <rPr>
        <sz val="10.5"/>
        <color theme="1"/>
        <rFont val="宋体"/>
        <family val="3"/>
        <charset val="134"/>
      </rPr>
      <t>每股季度净利润同比变化占每股总资产比例，</t>
    </r>
    <r>
      <rPr>
        <sz val="10.5"/>
        <color theme="1"/>
        <rFont val="Calibri"/>
        <family val="2"/>
      </rPr>
      <t>fes1=(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总股本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去年同期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>))/</t>
    </r>
    <r>
      <rPr>
        <sz val="10.5"/>
        <color theme="1"/>
        <rFont val="宋体"/>
        <family val="3"/>
        <charset val="134"/>
      </rPr>
      <t>去年同期总股本</t>
    </r>
    <r>
      <rPr>
        <sz val="10.5"/>
        <color theme="1"/>
        <rFont val="Calibri"/>
        <family val="2"/>
      </rPr>
      <t>)/(</t>
    </r>
    <r>
      <rPr>
        <sz val="10.5"/>
        <color theme="1"/>
        <rFont val="宋体"/>
        <family val="3"/>
        <charset val="134"/>
      </rPr>
      <t>去年同期总资产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去年同期总股本</t>
    </r>
    <r>
      <rPr>
        <sz val="10.5"/>
        <color theme="1"/>
        <rFont val="Calibri"/>
        <family val="2"/>
      </rPr>
      <t>)</t>
    </r>
    <phoneticPr fontId="9" type="noConversion"/>
  </si>
  <si>
    <t>net_profit_after_ded_nr_lp,total_assets</t>
    <phoneticPr fontId="5" type="noConversion"/>
  </si>
  <si>
    <t>tot_oper_rev,tot_oper_cost,less_fin_exp,total_assets</t>
    <phoneticPr fontId="5" type="noConversion"/>
  </si>
  <si>
    <r>
      <t>kqroe</t>
    </r>
    <r>
      <rPr>
        <sz val="10.5"/>
        <color theme="1"/>
        <rFont val="宋体"/>
        <family val="3"/>
        <charset val="134"/>
      </rPr>
      <t>的同比变化。</t>
    </r>
    <r>
      <rPr>
        <sz val="10.5"/>
        <color theme="1"/>
        <rFont val="Calibri"/>
        <family val="2"/>
      </rPr>
      <t>Kqroe=</t>
    </r>
    <r>
      <rPr>
        <sz val="10.5"/>
        <color theme="1"/>
        <rFont val="宋体"/>
        <family val="3"/>
        <charset val="134"/>
      </rPr>
      <t>（季度扣除非经常性损益后净利润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最近两季度股东权益合计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不含少数股东权益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）。</t>
    </r>
    <r>
      <rPr>
        <sz val="10.5"/>
        <color theme="1"/>
        <rFont val="Calibri"/>
        <family val="2"/>
      </rPr>
      <t>Kqdroe = kqroe-L1Y_kqroe</t>
    </r>
    <phoneticPr fontId="9" type="noConversion"/>
  </si>
  <si>
    <t>net_profit_after_ded_nr_lp,tot_shrhldr_eqy_excl_min_int</t>
    <phoneticPr fontId="5" type="noConversion"/>
  </si>
  <si>
    <t>net_profit_excl_min_int_inc</t>
    <phoneticPr fontId="5" type="noConversion"/>
  </si>
  <si>
    <r>
      <rPr>
        <sz val="10.5"/>
        <color theme="1"/>
        <rFont val="宋体"/>
        <family val="3"/>
        <charset val="134"/>
      </rPr>
      <t>季度净利润同比变化占总市值比，定义同</t>
    </r>
    <r>
      <rPr>
        <sz val="10.5"/>
        <color theme="1"/>
        <rFont val="Calibri"/>
        <family val="2"/>
      </rPr>
      <t>de2p</t>
    </r>
    <r>
      <rPr>
        <sz val="10.5"/>
        <color theme="1"/>
        <rFont val="宋体"/>
        <family val="3"/>
        <charset val="134"/>
      </rPr>
      <t>，增加快报和预告数据。</t>
    </r>
    <r>
      <rPr>
        <sz val="10.5"/>
        <color theme="1"/>
        <rFont val="Calibri"/>
        <family val="2"/>
      </rPr>
      <t>nde2p  =</t>
    </r>
    <r>
      <rPr>
        <sz val="10.5"/>
        <color theme="1"/>
        <rFont val="宋体"/>
        <family val="3"/>
        <charset val="134"/>
      </rPr>
      <t>（净利润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上年同期净利润）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总市值，净利润为归属于母公司的净利润的季度化数据，使用了快报和预告数据。</t>
    </r>
    <phoneticPr fontId="9" type="noConversion"/>
  </si>
  <si>
    <t>季度净利润同比增长率，使用了预告快报信息</t>
    <phoneticPr fontId="9" type="noConversion"/>
  </si>
  <si>
    <r>
      <rPr>
        <sz val="10.5"/>
        <color theme="1"/>
        <rFont val="宋体"/>
        <family val="3"/>
        <charset val="134"/>
      </rPr>
      <t>净利润同比变化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总资产，总资产使用年报数据。净利润如果有快报或者预告数据，则优先使用该数据。和</t>
    </r>
    <r>
      <rPr>
        <sz val="10.5"/>
        <color theme="1"/>
        <rFont val="Calibri"/>
        <family val="2"/>
      </rPr>
      <t>kfes1</t>
    </r>
    <r>
      <rPr>
        <sz val="10.5"/>
        <color theme="1"/>
        <rFont val="宋体"/>
        <family val="3"/>
        <charset val="134"/>
      </rPr>
      <t>和</t>
    </r>
    <r>
      <rPr>
        <sz val="10.5"/>
        <color theme="1"/>
        <rFont val="Calibri"/>
        <family val="2"/>
      </rPr>
      <t>fes1</t>
    </r>
    <r>
      <rPr>
        <sz val="10.5"/>
        <color theme="1"/>
        <rFont val="宋体"/>
        <family val="3"/>
        <charset val="134"/>
      </rPr>
      <t>使用季度净利润不同，此处使用的是净利润同比变化。</t>
    </r>
    <phoneticPr fontId="9" type="noConversion"/>
  </si>
  <si>
    <t>RAW</t>
    <phoneticPr fontId="5" type="noConversion"/>
  </si>
  <si>
    <r>
      <rPr>
        <sz val="10.5"/>
        <color theme="1"/>
        <rFont val="宋体"/>
        <family val="3"/>
        <charset val="134"/>
      </rPr>
      <t>季度净利润同比增长率，分母最小为</t>
    </r>
    <r>
      <rPr>
        <sz val="10.5"/>
        <color theme="1"/>
        <rFont val="Calibri"/>
        <family val="2"/>
      </rPr>
      <t>1000</t>
    </r>
    <r>
      <rPr>
        <sz val="10.5"/>
        <color theme="1"/>
        <rFont val="宋体"/>
        <family val="3"/>
        <charset val="134"/>
      </rPr>
      <t>万。</t>
    </r>
    <phoneticPr fontId="9" type="noConversion"/>
  </si>
  <si>
    <r>
      <t>TTM</t>
    </r>
    <r>
      <rPr>
        <sz val="10.5"/>
        <color theme="1"/>
        <rFont val="宋体"/>
        <family val="3"/>
        <charset val="134"/>
      </rPr>
      <t>净利润同比增长率，分母最小为</t>
    </r>
    <r>
      <rPr>
        <sz val="10.5"/>
        <color theme="1"/>
        <rFont val="Calibri"/>
        <family val="2"/>
      </rPr>
      <t>1000</t>
    </r>
    <r>
      <rPr>
        <sz val="10.5"/>
        <color theme="1"/>
        <rFont val="宋体"/>
        <family val="3"/>
        <charset val="134"/>
      </rPr>
      <t>万。</t>
    </r>
    <phoneticPr fontId="9" type="noConversion"/>
  </si>
  <si>
    <t>oper_rev</t>
    <phoneticPr fontId="5" type="noConversion"/>
  </si>
  <si>
    <t>oper_profit</t>
  </si>
  <si>
    <t>oper_profit</t>
    <phoneticPr fontId="5" type="noConversion"/>
  </si>
  <si>
    <t>Q</t>
    <phoneticPr fontId="5" type="noConversion"/>
  </si>
  <si>
    <t>Q</t>
    <phoneticPr fontId="5" type="noConversion"/>
  </si>
  <si>
    <r>
      <rPr>
        <sz val="10.5"/>
        <color theme="1"/>
        <rFont val="宋体"/>
        <family val="3"/>
        <charset val="134"/>
      </rPr>
      <t>季度营业利润同比增长率。</t>
    </r>
    <r>
      <rPr>
        <sz val="10.5"/>
        <color theme="1"/>
        <rFont val="Calibri"/>
        <family val="2"/>
      </rPr>
      <t>Opq_q = (Q(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)-L1Y_Q(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))/abs(L1Y_Q(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）</t>
    </r>
    <phoneticPr fontId="9" type="noConversion"/>
  </si>
  <si>
    <r>
      <t>TTM</t>
    </r>
    <r>
      <rPr>
        <sz val="10.5"/>
        <color theme="1"/>
        <rFont val="宋体"/>
        <family val="3"/>
        <charset val="134"/>
      </rPr>
      <t>营业利润同比增长率。</t>
    </r>
    <phoneticPr fontId="9" type="noConversion"/>
  </si>
  <si>
    <r>
      <t>TTM</t>
    </r>
    <r>
      <rPr>
        <sz val="10.5"/>
        <color theme="1"/>
        <rFont val="宋体"/>
        <family val="3"/>
        <charset val="134"/>
      </rPr>
      <t>营业收入同比增长率，分母最小为</t>
    </r>
    <r>
      <rPr>
        <sz val="10.5"/>
        <color theme="1"/>
        <rFont val="Calibri"/>
        <family val="2"/>
      </rPr>
      <t>1000</t>
    </r>
    <r>
      <rPr>
        <sz val="10.5"/>
        <color theme="1"/>
        <rFont val="宋体"/>
        <family val="3"/>
        <charset val="134"/>
      </rPr>
      <t>万。</t>
    </r>
    <phoneticPr fontId="9" type="noConversion"/>
  </si>
  <si>
    <r>
      <t>kqroa</t>
    </r>
    <r>
      <rPr>
        <sz val="10.5"/>
        <color theme="1"/>
        <rFont val="宋体"/>
        <family val="3"/>
        <charset val="134"/>
      </rPr>
      <t>的同比变化。</t>
    </r>
    <r>
      <rPr>
        <sz val="10.5"/>
        <color theme="1"/>
        <rFont val="Calibri"/>
        <family val="2"/>
      </rPr>
      <t xml:space="preserve">kqroa = </t>
    </r>
    <r>
      <rPr>
        <sz val="10.5"/>
        <color theme="1"/>
        <rFont val="宋体"/>
        <family val="3"/>
        <charset val="134"/>
      </rPr>
      <t>（季度营业总收入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季度营业总成本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财务费用）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最近两季度总资产平均值。</t>
    </r>
    <r>
      <rPr>
        <sz val="10.5"/>
        <color theme="1"/>
        <rFont val="Calibri"/>
        <family val="2"/>
      </rPr>
      <t>Kqdroa = kqroa-L1Y_kqroa</t>
    </r>
    <phoneticPr fontId="9" type="noConversion"/>
  </si>
  <si>
    <t>oper_profit,less_fin_exp,tot_assets</t>
    <phoneticPr fontId="5" type="noConversion"/>
  </si>
  <si>
    <t>net_profit_excl_min_int_inc,tot_assets</t>
    <phoneticPr fontId="5" type="noConversion"/>
  </si>
  <si>
    <r>
      <t>8</t>
    </r>
    <r>
      <rPr>
        <sz val="10.5"/>
        <color theme="1"/>
        <rFont val="宋体"/>
        <family val="3"/>
        <charset val="134"/>
      </rPr>
      <t>期季度净利润同比增长率均值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标准差</t>
    </r>
    <phoneticPr fontId="9" type="noConversion"/>
  </si>
  <si>
    <r>
      <t>X/Y</t>
    </r>
    <r>
      <rPr>
        <sz val="10.5"/>
        <color theme="1"/>
        <rFont val="宋体"/>
        <family val="3"/>
        <charset val="134"/>
      </rPr>
      <t>：季度化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营业总收入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营业总成本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tot_oper_rev_qXXXtot_oper_cost_q</t>
    </r>
    <phoneticPr fontId="9" type="noConversion"/>
  </si>
  <si>
    <t>tot_oper_rev</t>
    <phoneticPr fontId="5" type="noConversion"/>
  </si>
  <si>
    <t>tot_oper_rev,tot_oper_cost</t>
    <phoneticPr fontId="5" type="noConversion"/>
  </si>
  <si>
    <r>
      <t>X/Y</t>
    </r>
    <r>
      <rPr>
        <sz val="10.5"/>
        <color theme="1"/>
        <rFont val="宋体"/>
        <family val="3"/>
        <charset val="134"/>
      </rPr>
      <t>：季度化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管理费用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oper_profit_qXXXless_gerl_admin_exp_q</t>
    </r>
    <phoneticPr fontId="9" type="noConversion"/>
  </si>
  <si>
    <t>oper_profit_q,less_gerl_admin_exp_q</t>
    <phoneticPr fontId="5" type="noConversion"/>
  </si>
  <si>
    <r>
      <rPr>
        <sz val="10.5"/>
        <color theme="1"/>
        <rFont val="宋体"/>
        <family val="3"/>
        <charset val="134"/>
      </rPr>
      <t>季度营业总收入同比增长率。</t>
    </r>
    <r>
      <rPr>
        <sz val="10.5"/>
        <color theme="1"/>
        <rFont val="Calibri"/>
        <family val="2"/>
      </rPr>
      <t/>
    </r>
    <phoneticPr fontId="9" type="noConversion"/>
  </si>
  <si>
    <r>
      <rPr>
        <sz val="10.5"/>
        <color theme="1"/>
        <rFont val="宋体"/>
        <family val="3"/>
        <charset val="134"/>
      </rPr>
      <t>季度营业收入同比增长率。</t>
    </r>
    <r>
      <rPr>
        <sz val="10.5"/>
        <color theme="1"/>
        <rFont val="Calibri"/>
        <family val="2"/>
      </rPr>
      <t>qcsg=(Q(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)-L1Y_Q(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))/abs(L1Y_Q(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))</t>
    </r>
    <r>
      <rPr>
        <sz val="10.5"/>
        <color theme="1"/>
        <rFont val="宋体"/>
        <family val="3"/>
        <charset val="134"/>
      </rPr>
      <t>。应该比</t>
    </r>
    <r>
      <rPr>
        <sz val="10.5"/>
        <color theme="1"/>
        <rFont val="Calibri"/>
        <family val="2"/>
      </rPr>
      <t>org_ttm</t>
    </r>
    <r>
      <rPr>
        <sz val="10.5"/>
        <color theme="1"/>
        <rFont val="宋体"/>
        <family val="3"/>
        <charset val="134"/>
      </rPr>
      <t>好？</t>
    </r>
    <phoneticPr fontId="9" type="noConversion"/>
  </si>
  <si>
    <r>
      <rPr>
        <sz val="10.5"/>
        <color theme="1"/>
        <rFont val="宋体"/>
        <family val="3"/>
        <charset val="134"/>
      </rPr>
      <t>一阶差分（</t>
    </r>
    <r>
      <rPr>
        <sz val="10.5"/>
        <color theme="1"/>
        <rFont val="Calibri"/>
        <family val="2"/>
      </rPr>
      <t>8</t>
    </r>
    <r>
      <rPr>
        <sz val="10.5"/>
        <color theme="1"/>
        <rFont val="宋体"/>
        <family val="3"/>
        <charset val="134"/>
      </rPr>
      <t>期季度营业利润同比增长率均值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标准差）</t>
    </r>
    <phoneticPr fontId="9" type="noConversion"/>
  </si>
  <si>
    <r>
      <rPr>
        <sz val="10.5"/>
        <color theme="1"/>
        <rFont val="宋体"/>
        <family val="3"/>
        <charset val="134"/>
      </rPr>
      <t>一阶差分（</t>
    </r>
    <r>
      <rPr>
        <sz val="10.5"/>
        <color theme="1"/>
        <rFont val="Calibri"/>
        <family val="2"/>
      </rPr>
      <t>8</t>
    </r>
    <r>
      <rPr>
        <sz val="10.5"/>
        <color theme="1"/>
        <rFont val="宋体"/>
        <family val="3"/>
        <charset val="134"/>
      </rPr>
      <t>期季度营业收入同比增长率均值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标准差）</t>
    </r>
    <phoneticPr fontId="9" type="noConversion"/>
  </si>
  <si>
    <r>
      <t>8</t>
    </r>
    <r>
      <rPr>
        <sz val="10.5"/>
        <color theme="1"/>
        <rFont val="宋体"/>
        <family val="3"/>
        <charset val="134"/>
      </rPr>
      <t>期季度营业利润同比增长率均值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标准差</t>
    </r>
    <phoneticPr fontId="9" type="noConversion"/>
  </si>
  <si>
    <t>Q</t>
    <phoneticPr fontId="5" type="noConversion"/>
  </si>
  <si>
    <r>
      <t>8</t>
    </r>
    <r>
      <rPr>
        <sz val="10.5"/>
        <color theme="1"/>
        <rFont val="宋体"/>
        <family val="3"/>
        <charset val="134"/>
      </rPr>
      <t>期季度营业收入同比增长率均值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标准差</t>
    </r>
    <phoneticPr fontId="9" type="noConversion"/>
  </si>
  <si>
    <r>
      <t>8</t>
    </r>
    <r>
      <rPr>
        <sz val="10.5"/>
        <color theme="1"/>
        <rFont val="宋体"/>
        <family val="3"/>
        <charset val="134"/>
      </rPr>
      <t>期季度营业利润</t>
    </r>
    <r>
      <rPr>
        <sz val="10.5"/>
        <color theme="1"/>
        <rFont val="宋体"/>
        <family val="3"/>
        <charset val="134"/>
      </rPr>
      <t>对时间回归的二次项系数，</t>
    </r>
    <r>
      <rPr>
        <sz val="10.5"/>
        <color theme="1"/>
        <rFont val="Calibri"/>
        <family val="2"/>
      </rPr>
      <t>lm(qe~t^2+t)</t>
    </r>
    <phoneticPr fontId="9" type="noConversion"/>
  </si>
  <si>
    <t>con_np</t>
    <phoneticPr fontId="5" type="noConversion"/>
  </si>
  <si>
    <t>con_forecast_stk</t>
    <phoneticPr fontId="5" type="noConversion"/>
  </si>
  <si>
    <t>con_or</t>
  </si>
  <si>
    <t>net_profit_excl_min_int_inc,tot_shrhldr_eqy_excl_min_int</t>
    <phoneticPr fontId="5" type="noConversion"/>
  </si>
  <si>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ROA</t>
    </r>
    <r>
      <rPr>
        <sz val="10.5"/>
        <color theme="1"/>
        <rFont val="宋体"/>
        <family val="3"/>
        <charset val="134"/>
      </rPr>
      <t>同比变化。</t>
    </r>
    <r>
      <rPr>
        <sz val="10.5"/>
        <color theme="1"/>
        <rFont val="Calibri"/>
        <family val="2"/>
      </rPr>
      <t>qroa=(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)+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财务费用</t>
    </r>
    <r>
      <rPr>
        <sz val="10.5"/>
        <color theme="1"/>
        <rFont val="Calibri"/>
        <family val="2"/>
      </rPr>
      <t>))/</t>
    </r>
    <r>
      <rPr>
        <sz val="10.5"/>
        <color theme="1"/>
        <rFont val="宋体"/>
        <family val="3"/>
        <charset val="134"/>
      </rPr>
      <t>两季度平均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)
qdroa=YearDelta(qroa)=qroa-L1Y-qroa</t>
    </r>
    <phoneticPr fontId="9" type="noConversion"/>
  </si>
  <si>
    <r>
      <t>TTM(ROE)</t>
    </r>
    <r>
      <rPr>
        <sz val="10.5"/>
        <color theme="1"/>
        <rFont val="宋体"/>
        <family val="3"/>
        <charset val="134"/>
      </rPr>
      <t>同比变化。</t>
    </r>
    <r>
      <rPr>
        <sz val="10.5"/>
        <color theme="1"/>
        <rFont val="Calibri"/>
        <family val="2"/>
      </rPr>
      <t>roe=TTM(</t>
    </r>
    <r>
      <rPr>
        <sz val="10.5"/>
        <color theme="1"/>
        <rFont val="宋体"/>
        <family val="3"/>
        <charset val="134"/>
      </rPr>
      <t>归母净利润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两年平均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归母所有者权益</t>
    </r>
    <r>
      <rPr>
        <sz val="10.5"/>
        <color theme="1"/>
        <rFont val="Calibri"/>
        <family val="2"/>
      </rPr>
      <t>)
roeg_ttm=YearDelta(roe)</t>
    </r>
    <r>
      <rPr>
        <sz val="10.5"/>
        <color theme="1"/>
        <rFont val="宋体"/>
        <family val="3"/>
        <charset val="134"/>
      </rPr>
      <t>。算法同</t>
    </r>
    <r>
      <rPr>
        <sz val="10.5"/>
        <color theme="1"/>
        <rFont val="Calibri"/>
        <family val="2"/>
      </rPr>
      <t>qdroe</t>
    </r>
    <phoneticPr fontId="9" type="noConversion"/>
  </si>
  <si>
    <t>net_profit_excl_min_int_inc,cash_pay_beh_empl</t>
    <phoneticPr fontId="5" type="noConversion"/>
  </si>
  <si>
    <r>
      <rPr>
        <sz val="10.5"/>
        <color theme="1"/>
        <rFont val="宋体"/>
        <family val="3"/>
        <charset val="134"/>
      </rPr>
      <t>同比增长率</t>
    </r>
    <r>
      <rPr>
        <sz val="10.5"/>
        <color theme="1"/>
        <rFont val="Calibri"/>
        <family val="2"/>
      </rPr>
      <t>(X)-</t>
    </r>
    <r>
      <rPr>
        <sz val="10.5"/>
        <color theme="1"/>
        <rFont val="宋体"/>
        <family val="3"/>
        <charset val="134"/>
      </rPr>
      <t>同比增长率</t>
    </r>
    <r>
      <rPr>
        <sz val="10.5"/>
        <color theme="1"/>
        <rFont val="Calibri"/>
        <family val="2"/>
      </rPr>
      <t>(Y)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RatioXMinusRatioY</t>
    </r>
    <r>
      <rPr>
        <sz val="10.5"/>
        <color theme="1"/>
        <rFont val="宋体"/>
        <family val="3"/>
        <charset val="134"/>
      </rPr>
      <t>模式。季度净利润同比增长率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季度支付给职工以及为职工支付的现金同比增长率。此处衡量两个不同财务项的同比增长率差值。同比增长率</t>
    </r>
    <r>
      <rPr>
        <sz val="10.5"/>
        <color theme="1"/>
        <rFont val="Calibri"/>
        <family val="2"/>
      </rPr>
      <t>=(F-L1Y_F)/abs(L1Y_F)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net_profit_excl_min_int_inc_q_rXXXcash_pay_beh_empl_q_r</t>
    </r>
    <phoneticPr fontId="9" type="noConversion"/>
  </si>
  <si>
    <r>
      <rPr>
        <sz val="10.5"/>
        <color theme="1"/>
        <rFont val="宋体"/>
        <family val="3"/>
        <charset val="134"/>
      </rPr>
      <t>同比增长率</t>
    </r>
    <r>
      <rPr>
        <sz val="10.5"/>
        <color theme="1"/>
        <rFont val="Calibri"/>
        <family val="2"/>
      </rPr>
      <t>(X)-</t>
    </r>
    <r>
      <rPr>
        <sz val="10.5"/>
        <color theme="1"/>
        <rFont val="宋体"/>
        <family val="3"/>
        <charset val="134"/>
      </rPr>
      <t>同比增长率</t>
    </r>
    <r>
      <rPr>
        <sz val="10.5"/>
        <color theme="1"/>
        <rFont val="Calibri"/>
        <family val="2"/>
      </rPr>
      <t>(Y)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RatioXMinusRatioY</t>
    </r>
    <r>
      <rPr>
        <sz val="10.5"/>
        <color theme="1"/>
        <rFont val="宋体"/>
        <family val="3"/>
        <charset val="134"/>
      </rPr>
      <t>模式。季度营业利润同比增长率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季度购买商品、接收劳务支付的现金同比增长率。此处衡量两个不同财务项的同比增长率差值。同比增长率</t>
    </r>
    <r>
      <rPr>
        <sz val="10.5"/>
        <color theme="1"/>
        <rFont val="Calibri"/>
        <family val="2"/>
      </rPr>
      <t>=(F-L1Y_F)/abs(L1Y_F)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oper_profit_q_rXXXcash_pay_goods_purch_serv_rec_q_r</t>
    </r>
    <phoneticPr fontId="9" type="noConversion"/>
  </si>
  <si>
    <t>oper_profit,cash_pay_goods_purch_serv_rec</t>
    <phoneticPr fontId="5" type="noConversion"/>
  </si>
  <si>
    <r>
      <rPr>
        <sz val="10.5"/>
        <color theme="1"/>
        <rFont val="宋体"/>
        <family val="3"/>
        <charset val="134"/>
      </rPr>
      <t>同比增长率</t>
    </r>
    <r>
      <rPr>
        <sz val="10.5"/>
        <color theme="1"/>
        <rFont val="Calibri"/>
        <family val="2"/>
      </rPr>
      <t>(X)-</t>
    </r>
    <r>
      <rPr>
        <sz val="10.5"/>
        <color theme="1"/>
        <rFont val="宋体"/>
        <family val="3"/>
        <charset val="134"/>
      </rPr>
      <t>同比增长率</t>
    </r>
    <r>
      <rPr>
        <sz val="10.5"/>
        <color theme="1"/>
        <rFont val="Calibri"/>
        <family val="2"/>
      </rPr>
      <t>(Y)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RatioXMinusRatioY</t>
    </r>
    <r>
      <rPr>
        <sz val="10.5"/>
        <color theme="1"/>
        <rFont val="宋体"/>
        <family val="3"/>
        <charset val="134"/>
      </rPr>
      <t>模式。季度营业利润同比增长率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季度支付给职工以及为职工支付的现金同比增长率。此处衡量两个不同财务项的同比增长率差值。同比增长率</t>
    </r>
    <r>
      <rPr>
        <sz val="10.5"/>
        <color theme="1"/>
        <rFont val="Calibri"/>
        <family val="2"/>
      </rPr>
      <t>=(F-L1Y_F)/abs(L1Y_F)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oper_profit_q_rXXXcash_pay_beh_empl_q_r</t>
    </r>
    <phoneticPr fontId="9" type="noConversion"/>
  </si>
  <si>
    <t>oper_profit,cash_pay_beh_empl</t>
    <phoneticPr fontId="5" type="noConversion"/>
  </si>
  <si>
    <t>oper_profit,less_gerl_admin_exp</t>
    <phoneticPr fontId="5" type="noConversion"/>
  </si>
  <si>
    <r>
      <rPr>
        <sz val="10.5"/>
        <color theme="1"/>
        <rFont val="宋体"/>
        <family val="3"/>
        <charset val="134"/>
      </rPr>
      <t>同比增长率</t>
    </r>
    <r>
      <rPr>
        <sz val="10.5"/>
        <color theme="1"/>
        <rFont val="Calibri"/>
        <family val="2"/>
      </rPr>
      <t>(X)-</t>
    </r>
    <r>
      <rPr>
        <sz val="10.5"/>
        <color theme="1"/>
        <rFont val="宋体"/>
        <family val="3"/>
        <charset val="134"/>
      </rPr>
      <t>同比增长率</t>
    </r>
    <r>
      <rPr>
        <sz val="10.5"/>
        <color theme="1"/>
        <rFont val="Calibri"/>
        <family val="2"/>
      </rPr>
      <t>(Y)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RatioXMinusRatioY</t>
    </r>
    <r>
      <rPr>
        <sz val="10.5"/>
        <color theme="1"/>
        <rFont val="宋体"/>
        <family val="3"/>
        <charset val="134"/>
      </rPr>
      <t>模式。季度营业利润同比增长率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季度管理费用同比增长率。此处衡量两个不同财务项的同比增长率差值。同比增长率</t>
    </r>
    <r>
      <rPr>
        <sz val="10.5"/>
        <color theme="1"/>
        <rFont val="Calibri"/>
        <family val="2"/>
      </rPr>
      <t>=(F-L1Y_F)/abs(L1Y_F)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 xml:space="preserve">
</t>
    </r>
    <r>
      <rPr>
        <sz val="10.5"/>
        <color theme="1"/>
        <rFont val="Calibri"/>
        <family val="2"/>
      </rPr>
      <t>oper_profit_q_rXXXless_gerl_admin_exp_q_r</t>
    </r>
    <phoneticPr fontId="9" type="noConversion"/>
  </si>
  <si>
    <r>
      <rPr>
        <sz val="10.5"/>
        <color theme="1"/>
        <rFont val="宋体"/>
        <family val="3"/>
        <charset val="134"/>
      </rPr>
      <t>特质利润。</t>
    </r>
    <r>
      <rPr>
        <sz val="10.5"/>
        <color theme="1"/>
        <rFont val="Calibri"/>
        <family val="2"/>
      </rPr>
      <t>residue of linear regression(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)~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购建固定资产、无形资产和其他长期资产支付的现金</t>
    </r>
    <r>
      <rPr>
        <sz val="10.5"/>
        <color theme="1"/>
        <rFont val="Calibri"/>
        <family val="2"/>
      </rPr>
      <t>)+1)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oper_profit_qXXXcash_pay_acq_const_fiolta_q</t>
    </r>
    <phoneticPr fontId="9" type="noConversion"/>
  </si>
  <si>
    <t>oper_profit,cash_pay_acq_const_fiolta</t>
    <phoneticPr fontId="5" type="noConversion"/>
  </si>
  <si>
    <r>
      <rPr>
        <sz val="10.5"/>
        <color theme="1"/>
        <rFont val="宋体"/>
        <family val="3"/>
        <charset val="134"/>
      </rPr>
      <t>特质利润。</t>
    </r>
    <r>
      <rPr>
        <sz val="10.5"/>
        <color theme="1"/>
        <rFont val="Calibri"/>
        <family val="2"/>
      </rPr>
      <t>residue of linear regression(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)~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经营活动产生的现金流量净额</t>
    </r>
    <r>
      <rPr>
        <sz val="10.5"/>
        <color theme="1"/>
        <rFont val="Calibri"/>
        <family val="2"/>
      </rPr>
      <t>)+1)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oper_profit_qXXXnet_cash_flows_oper_act_q</t>
    </r>
    <phoneticPr fontId="9" type="noConversion"/>
  </si>
  <si>
    <t>oper_profit,net_cash_flows_oper_act</t>
    <phoneticPr fontId="5" type="noConversion"/>
  </si>
  <si>
    <r>
      <rPr>
        <sz val="10.5"/>
        <color theme="1"/>
        <rFont val="宋体"/>
        <family val="3"/>
        <charset val="134"/>
      </rPr>
      <t>回归计算的最近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年复合增长率，只取年报数据。</t>
    </r>
    <r>
      <rPr>
        <sz val="10.5"/>
        <color theme="1"/>
        <rFont val="Calibri"/>
        <family val="2"/>
      </rPr>
      <t>LM(</t>
    </r>
    <r>
      <rPr>
        <sz val="10.5"/>
        <color theme="1"/>
        <rFont val="宋体"/>
        <family val="3"/>
        <charset val="134"/>
      </rPr>
      <t>总营业收入</t>
    </r>
    <r>
      <rPr>
        <sz val="10.5"/>
        <color theme="1"/>
        <rFont val="Calibri"/>
        <family val="2"/>
      </rPr>
      <t>~T+1</t>
    </r>
    <r>
      <rPr>
        <sz val="10.5"/>
        <color theme="1"/>
        <rFont val="宋体"/>
        <family val="3"/>
        <charset val="134"/>
      </rPr>
      <t>），取</t>
    </r>
    <r>
      <rPr>
        <sz val="10.5"/>
        <color theme="1"/>
        <rFont val="Calibri"/>
        <family val="2"/>
      </rPr>
      <t>T</t>
    </r>
    <r>
      <rPr>
        <sz val="10.5"/>
        <color theme="1"/>
        <rFont val="宋体"/>
        <family val="3"/>
        <charset val="134"/>
      </rPr>
      <t>的回归系数</t>
    </r>
    <phoneticPr fontId="9" type="noConversion"/>
  </si>
  <si>
    <r>
      <rPr>
        <sz val="10.5"/>
        <color theme="1"/>
        <rFont val="宋体"/>
        <family val="3"/>
        <charset val="134"/>
      </rPr>
      <t>回归计算的最近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年复合增长率，只取年报数据。</t>
    </r>
    <r>
      <rPr>
        <sz val="10.5"/>
        <color theme="1"/>
        <rFont val="Calibri"/>
        <family val="2"/>
      </rPr>
      <t>LM(</t>
    </r>
    <r>
      <rPr>
        <sz val="10.5"/>
        <color theme="1"/>
        <rFont val="宋体"/>
        <family val="3"/>
        <charset val="134"/>
      </rPr>
      <t>总营业收入</t>
    </r>
    <r>
      <rPr>
        <sz val="10.5"/>
        <color theme="1"/>
        <rFont val="Calibri"/>
        <family val="2"/>
      </rPr>
      <t>~T+1</t>
    </r>
    <r>
      <rPr>
        <sz val="10.5"/>
        <color theme="1"/>
        <rFont val="宋体"/>
        <family val="3"/>
        <charset val="134"/>
      </rPr>
      <t>），取</t>
    </r>
    <r>
      <rPr>
        <sz val="10.5"/>
        <color theme="1"/>
        <rFont val="Calibri"/>
        <family val="2"/>
      </rPr>
      <t>T</t>
    </r>
    <r>
      <rPr>
        <sz val="10.5"/>
        <color theme="1"/>
        <rFont val="宋体"/>
        <family val="3"/>
        <charset val="134"/>
      </rPr>
      <t>的回归系数</t>
    </r>
    <phoneticPr fontId="9" type="noConversion"/>
  </si>
  <si>
    <t>acct_rcv,oper_rev</t>
    <phoneticPr fontId="5" type="noConversion"/>
  </si>
  <si>
    <t>net_profit_excl_min_int_inc</t>
    <phoneticPr fontId="5" type="noConversion"/>
  </si>
  <si>
    <t>Q</t>
    <phoneticPr fontId="5" type="noConversion"/>
  </si>
  <si>
    <r>
      <t>sue=Z_SCORE(</t>
    </r>
    <r>
      <rPr>
        <sz val="10.5"/>
        <color theme="1"/>
        <rFont val="宋体"/>
        <family val="3"/>
        <charset val="134"/>
      </rPr>
      <t>年度同比变化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 xml:space="preserve">)), </t>
    </r>
    <r>
      <rPr>
        <sz val="10.5"/>
        <color theme="1"/>
        <rFont val="宋体"/>
        <family val="3"/>
        <charset val="134"/>
      </rPr>
      <t>最近</t>
    </r>
    <r>
      <rPr>
        <sz val="10.5"/>
        <color theme="1"/>
        <rFont val="Calibri"/>
        <family val="2"/>
      </rPr>
      <t>8</t>
    </r>
    <r>
      <rPr>
        <sz val="10.5"/>
        <color theme="1"/>
        <rFont val="宋体"/>
        <family val="3"/>
        <charset val="134"/>
      </rPr>
      <t>个季度）。历史季度盈利惊喜</t>
    </r>
    <r>
      <rPr>
        <sz val="10.5"/>
        <color theme="1"/>
        <rFont val="Calibri"/>
        <family val="2"/>
      </rPr>
      <t>,z_score(</t>
    </r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上年同期净利润</t>
    </r>
    <r>
      <rPr>
        <sz val="10.5"/>
        <color theme="1"/>
        <rFont val="宋体"/>
        <family val="3"/>
        <charset val="134"/>
      </rPr>
      <t>）（用过去</t>
    </r>
    <r>
      <rPr>
        <sz val="10.5"/>
        <color theme="1"/>
        <rFont val="Calibri"/>
        <family val="2"/>
      </rPr>
      <t>8</t>
    </r>
    <r>
      <rPr>
        <sz val="10.5"/>
        <color theme="1"/>
        <rFont val="宋体"/>
        <family val="3"/>
        <charset val="134"/>
      </rPr>
      <t>个季度数据估算）</t>
    </r>
    <r>
      <rPr>
        <sz val="10.5"/>
        <color theme="1"/>
        <rFont val="Calibri"/>
        <family val="2"/>
      </rPr>
      <t/>
    </r>
    <phoneticPr fontId="9" type="noConversion"/>
  </si>
  <si>
    <r>
      <t>arg=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)-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应收账款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（应收账款季度变化）</t>
    </r>
    <r>
      <rPr>
        <sz val="10.5"/>
        <color theme="1"/>
        <rFont val="Calibri"/>
        <family val="2"/>
      </rPr>
      <t xml:space="preserve">
smarg=Z_SCORE(arg</t>
    </r>
    <r>
      <rPr>
        <sz val="10.5"/>
        <color theme="1"/>
        <rFont val="宋体"/>
        <family val="3"/>
        <charset val="134"/>
      </rPr>
      <t>同比增长率</t>
    </r>
    <r>
      <rPr>
        <sz val="10.5"/>
        <color theme="1"/>
        <rFont val="Calibri"/>
        <family val="2"/>
      </rPr>
      <t xml:space="preserve">, </t>
    </r>
    <r>
      <rPr>
        <sz val="10.5"/>
        <color theme="1"/>
        <rFont val="宋体"/>
        <family val="3"/>
        <charset val="134"/>
      </rPr>
      <t>最近</t>
    </r>
    <r>
      <rPr>
        <sz val="10.5"/>
        <color theme="1"/>
        <rFont val="Calibri"/>
        <family val="2"/>
      </rPr>
      <t>16</t>
    </r>
    <r>
      <rPr>
        <sz val="10.5"/>
        <color theme="1"/>
        <rFont val="宋体"/>
        <family val="3"/>
        <charset val="134"/>
      </rPr>
      <t>个季度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
当前营业收入相对历史</t>
    </r>
    <r>
      <rPr>
        <sz val="10.5"/>
        <color theme="1"/>
        <rFont val="Calibri"/>
        <family val="2"/>
      </rPr>
      <t>16</t>
    </r>
    <r>
      <rPr>
        <sz val="10.5"/>
        <color theme="1"/>
        <rFont val="宋体"/>
        <family val="3"/>
        <charset val="134"/>
      </rPr>
      <t>期平均</t>
    </r>
    <r>
      <rPr>
        <sz val="10.5"/>
        <color theme="1"/>
        <rFont val="Calibri"/>
        <family val="2"/>
      </rPr>
      <t>Z</t>
    </r>
    <r>
      <rPr>
        <sz val="10.5"/>
        <color theme="1"/>
        <rFont val="宋体"/>
        <family val="3"/>
        <charset val="134"/>
      </rPr>
      <t>值。</t>
    </r>
    <r>
      <rPr>
        <sz val="10.5"/>
        <color theme="1"/>
        <rFont val="Calibri"/>
        <family val="2"/>
      </rPr>
      <t>,</t>
    </r>
    <r>
      <rPr>
        <sz val="10.5"/>
        <color theme="1"/>
        <rFont val="宋体"/>
        <family val="3"/>
        <charset val="134"/>
      </rPr>
      <t>金融企业没有数据？</t>
    </r>
    <phoneticPr fontId="9" type="noConversion"/>
  </si>
  <si>
    <t>tot_oper_rev,tot_oper_cost</t>
    <phoneticPr fontId="5" type="noConversion"/>
  </si>
  <si>
    <r>
      <t>suoi=Z_SCORE(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总营业收入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总营业成本</t>
    </r>
    <r>
      <rPr>
        <sz val="10.5"/>
        <color theme="1"/>
        <rFont val="Calibri"/>
        <family val="2"/>
      </rPr>
      <t xml:space="preserve">), </t>
    </r>
    <r>
      <rPr>
        <sz val="10.5"/>
        <color theme="1"/>
        <rFont val="宋体"/>
        <family val="3"/>
        <charset val="134"/>
      </rPr>
      <t>最近</t>
    </r>
    <r>
      <rPr>
        <sz val="10.5"/>
        <color theme="1"/>
        <rFont val="Calibri"/>
        <family val="2"/>
      </rPr>
      <t>8</t>
    </r>
    <r>
      <rPr>
        <sz val="10.5"/>
        <color theme="1"/>
        <rFont val="宋体"/>
        <family val="3"/>
        <charset val="134"/>
      </rPr>
      <t>个季度）</t>
    </r>
    <phoneticPr fontId="9" type="noConversion"/>
  </si>
  <si>
    <t>con_np,net_profit_excl_min_int_inc</t>
    <phoneticPr fontId="5" type="noConversion"/>
  </si>
  <si>
    <t>RAW</t>
    <phoneticPr fontId="5" type="noConversion"/>
  </si>
  <si>
    <t>adv_from_cust,tot_assets</t>
    <phoneticPr fontId="5" type="noConversion"/>
  </si>
  <si>
    <r>
      <rPr>
        <sz val="10.5"/>
        <color theme="1"/>
        <rFont val="宋体"/>
        <family val="3"/>
        <charset val="134"/>
      </rPr>
      <t>预收账款同比变化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平均总资产，再求</t>
    </r>
    <r>
      <rPr>
        <sz val="10.5"/>
        <color theme="1"/>
        <rFont val="Calibri"/>
        <family val="2"/>
      </rPr>
      <t>z_score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16</t>
    </r>
    <r>
      <rPr>
        <sz val="10.5"/>
        <color theme="1"/>
        <rFont val="宋体"/>
        <family val="3"/>
        <charset val="134"/>
      </rPr>
      <t>期</t>
    </r>
    <phoneticPr fontId="9" type="noConversion"/>
  </si>
  <si>
    <r>
      <t>sus=Z_SCORE(</t>
    </r>
    <r>
      <rPr>
        <sz val="10.5"/>
        <color theme="1"/>
        <rFont val="宋体"/>
        <family val="3"/>
        <charset val="134"/>
      </rPr>
      <t>年度同比变化（季度营业收入），最近</t>
    </r>
    <r>
      <rPr>
        <sz val="10.5"/>
        <color theme="1"/>
        <rFont val="Calibri"/>
        <family val="2"/>
      </rPr>
      <t>8</t>
    </r>
    <r>
      <rPr>
        <sz val="10.5"/>
        <color theme="1"/>
        <rFont val="宋体"/>
        <family val="3"/>
        <charset val="134"/>
      </rPr>
      <t>个季度）。</t>
    </r>
    <phoneticPr fontId="9" type="noConversion"/>
  </si>
  <si>
    <t>oper_rev</t>
    <phoneticPr fontId="5" type="noConversion"/>
  </si>
  <si>
    <t>Q</t>
    <phoneticPr fontId="5" type="noConversion"/>
  </si>
  <si>
    <r>
      <t>Delta(X)/Y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Calibri"/>
        <family val="2"/>
      </rPr>
      <t>Delta(</t>
    </r>
    <r>
      <rPr>
        <sz val="10.5"/>
        <color theme="1"/>
        <rFont val="宋体"/>
        <family val="3"/>
        <charset val="134"/>
      </rPr>
      <t>预收款项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无形资产。</t>
    </r>
    <r>
      <rPr>
        <sz val="10.5"/>
        <color theme="1"/>
        <rFont val="Calibri"/>
        <family val="2"/>
      </rPr>
      <t>adv_from_custXXXintang_assets</t>
    </r>
    <phoneticPr fontId="9" type="noConversion"/>
  </si>
  <si>
    <t>adv_from_cust,intang_assets</t>
    <phoneticPr fontId="5" type="noConversion"/>
  </si>
  <si>
    <t>情绪</t>
    <phoneticPr fontId="5" type="noConversion"/>
  </si>
  <si>
    <t>IC.Broad</t>
    <phoneticPr fontId="9" type="noConversion"/>
  </si>
  <si>
    <t>IC.ZZ800</t>
    <phoneticPr fontId="9" type="noConversion"/>
  </si>
  <si>
    <t>astd12m</t>
  </si>
  <si>
    <t>astd1m</t>
  </si>
  <si>
    <t>astd24m</t>
  </si>
  <si>
    <t>astd3m</t>
  </si>
  <si>
    <t>astd6m</t>
  </si>
  <si>
    <t>cthl12m</t>
  </si>
  <si>
    <t>cthl24m</t>
  </si>
  <si>
    <t>cthl6m</t>
  </si>
  <si>
    <t>cthl9m</t>
  </si>
  <si>
    <t>cto12m</t>
  </si>
  <si>
    <t>cto24m</t>
  </si>
  <si>
    <t>cto6m</t>
  </si>
  <si>
    <t>cto9m</t>
  </si>
  <si>
    <t>davol</t>
  </si>
  <si>
    <t>davol_floatshr</t>
  </si>
  <si>
    <t>davol_freeshr</t>
  </si>
  <si>
    <t>demom10</t>
  </si>
  <si>
    <t>demom7</t>
  </si>
  <si>
    <t>demom8</t>
  </si>
  <si>
    <t>demom9</t>
  </si>
  <si>
    <t>drmom12m</t>
  </si>
  <si>
    <t>drmom24m</t>
  </si>
  <si>
    <t>drmom6m</t>
  </si>
  <si>
    <t>drmom9m</t>
  </si>
  <si>
    <t>ivo</t>
  </si>
  <si>
    <t>ivo_ff12m</t>
  </si>
  <si>
    <t>ivo_ff1m</t>
  </si>
  <si>
    <t>ivo_ff24m</t>
  </si>
  <si>
    <t>ivo_ff3m</t>
  </si>
  <si>
    <t>ivo_ff6m</t>
  </si>
  <si>
    <t>i_volatility</t>
  </si>
  <si>
    <t>ivr</t>
  </si>
  <si>
    <t>ivr_ff12m</t>
  </si>
  <si>
    <t>ivr_ff1m</t>
  </si>
  <si>
    <t>ivr_ff24m</t>
  </si>
  <si>
    <t>ivr_ff3m</t>
  </si>
  <si>
    <t>ivr_ff6m</t>
  </si>
  <si>
    <t>liquidty</t>
  </si>
  <si>
    <t>lowprice</t>
  </si>
  <si>
    <t>lsf</t>
  </si>
  <si>
    <t>mad120</t>
  </si>
  <si>
    <t>mad560</t>
  </si>
  <si>
    <t>mad_amount_20240</t>
  </si>
  <si>
    <t>mad_amount_2060</t>
  </si>
  <si>
    <t>mad_volume_20240</t>
  </si>
  <si>
    <t>mad_volume_2060</t>
  </si>
  <si>
    <t>maxret11</t>
  </si>
  <si>
    <t>maxret33</t>
  </si>
  <si>
    <t>maxret66</t>
  </si>
  <si>
    <t>mom1_con_pb_roll</t>
  </si>
  <si>
    <t>mom1_con_pe_roll</t>
  </si>
  <si>
    <t>mom1_con_ps_roll</t>
  </si>
  <si>
    <t>mom3_con_pb_roll</t>
  </si>
  <si>
    <t>mom3_con_pe_roll</t>
  </si>
  <si>
    <t>mom3_con_ps_roll</t>
  </si>
  <si>
    <t>momentum</t>
  </si>
  <si>
    <t>momentum_t12</t>
  </si>
  <si>
    <t>momvol10m</t>
  </si>
  <si>
    <t>momvol12m</t>
  </si>
  <si>
    <t>momvol24m</t>
  </si>
  <si>
    <t>momvol7m</t>
  </si>
  <si>
    <t>pairs</t>
  </si>
  <si>
    <t>pairs_l</t>
  </si>
  <si>
    <t>price2vol</t>
  </si>
  <si>
    <t>rb2p</t>
  </si>
  <si>
    <t>re2p</t>
  </si>
  <si>
    <t>ret12m</t>
  </si>
  <si>
    <t>ret12m_1m</t>
  </si>
  <si>
    <t>ret1m</t>
  </si>
  <si>
    <t>ret24m</t>
  </si>
  <si>
    <t>ret24m_1m</t>
  </si>
  <si>
    <t>ret3m</t>
  </si>
  <si>
    <t>ret3m_1m</t>
  </si>
  <si>
    <t>ret6m</t>
  </si>
  <si>
    <t>ret6m_1m</t>
  </si>
  <si>
    <t>revs</t>
  </si>
  <si>
    <t>rfy12p</t>
  </si>
  <si>
    <t>rpegl</t>
  </si>
  <si>
    <t>rpegs</t>
  </si>
  <si>
    <t>spb</t>
  </si>
  <si>
    <t>tprtn2</t>
  </si>
  <si>
    <t>tskew</t>
  </si>
  <si>
    <t>turnover12m</t>
  </si>
  <si>
    <t>turnover1m</t>
  </si>
  <si>
    <t>turnover24m</t>
  </si>
  <si>
    <t>turnover3m</t>
  </si>
  <si>
    <t>turnover6m</t>
  </si>
  <si>
    <t>turnover_amount12m</t>
  </si>
  <si>
    <t>turnover_amount1m</t>
  </si>
  <si>
    <t>turnover_amount24m</t>
  </si>
  <si>
    <t>turnover_amount3m</t>
  </si>
  <si>
    <t>turnover_amount6m</t>
  </si>
  <si>
    <t>vol</t>
  </si>
  <si>
    <t>volatility12m</t>
  </si>
  <si>
    <t>volatility1m</t>
  </si>
  <si>
    <t>volatility24m</t>
  </si>
  <si>
    <t>volatility3m</t>
  </si>
  <si>
    <t>volatility6m</t>
  </si>
  <si>
    <t>volatility_actual12m</t>
  </si>
  <si>
    <t>volatility_actual1m</t>
  </si>
  <si>
    <t>volatility_actual24m</t>
  </si>
  <si>
    <t>volatility_actual3m</t>
  </si>
  <si>
    <t>volatility_actual6m</t>
  </si>
  <si>
    <t>vol_freeshr</t>
  </si>
  <si>
    <t>volume_volatility12m</t>
  </si>
  <si>
    <t>volume_volatility1m</t>
  </si>
  <si>
    <t>volume_volatility24m</t>
  </si>
  <si>
    <t>volume_volatility3m</t>
  </si>
  <si>
    <t>volume_volatility6m</t>
  </si>
  <si>
    <t>mom3_con_eps_roll</t>
  </si>
  <si>
    <t>rcon_eps_roll</t>
  </si>
  <si>
    <t>astd12m</t>
    <phoneticPr fontId="9" type="noConversion"/>
  </si>
  <si>
    <t>astd24m</t>
    <phoneticPr fontId="9" type="noConversion"/>
  </si>
  <si>
    <t>根据开盘和昨收，确定chtl的值。当高开时(open&gt;pclose)，chtl = high/pclose-1; 平开(opne=close), chtl=0；低开时(open&lt;pclose), chtl = low/pclose-1。因子值=sum(chtl)。剔除最近1个月后的23个月的累计值</t>
    <phoneticPr fontId="9" type="noConversion"/>
  </si>
  <si>
    <t>隔日动量。使用sum(open/pclose-1）计算，open为开盘价，pclose为预测开盘价。剔除最近1个月后的23个月，逐日累加</t>
    <phoneticPr fontId="9" type="noConversion"/>
  </si>
  <si>
    <t>davol_floatshr</t>
    <phoneticPr fontId="9" type="noConversion"/>
  </si>
  <si>
    <r>
      <rPr>
        <sz val="10.5"/>
        <color theme="1"/>
        <rFont val="宋体"/>
        <family val="3"/>
        <charset val="134"/>
      </rPr>
      <t>流通股本</t>
    </r>
    <r>
      <rPr>
        <sz val="10.5"/>
        <color theme="1"/>
        <rFont val="Calibri"/>
        <family val="2"/>
      </rPr>
      <t>davol</t>
    </r>
    <phoneticPr fontId="9" type="noConversion"/>
  </si>
  <si>
    <t>drmom12m</t>
    <phoneticPr fontId="9" type="noConversion"/>
  </si>
  <si>
    <t>drmom24m</t>
    <phoneticPr fontId="9" type="noConversion"/>
  </si>
  <si>
    <t>lowprice</t>
    <phoneticPr fontId="9" type="noConversion"/>
  </si>
  <si>
    <r>
      <t>1/</t>
    </r>
    <r>
      <rPr>
        <sz val="10.5"/>
        <color theme="1"/>
        <rFont val="宋体"/>
        <family val="3"/>
        <charset val="134"/>
      </rPr>
      <t>昨日收盘价</t>
    </r>
    <phoneticPr fontId="9" type="noConversion"/>
  </si>
  <si>
    <t>momvol10m</t>
    <phoneticPr fontId="9" type="noConversion"/>
  </si>
  <si>
    <t>momvol12m</t>
    <phoneticPr fontId="9" type="noConversion"/>
  </si>
  <si>
    <t>momvol7m</t>
    <phoneticPr fontId="9" type="noConversion"/>
  </si>
  <si>
    <t>过去9个月(剔除最近一个)波动率调整后的动量，类似于夏普</t>
    <phoneticPr fontId="9" type="noConversion"/>
  </si>
  <si>
    <t>momvol24m</t>
    <phoneticPr fontId="9" type="noConversion"/>
  </si>
  <si>
    <t>revsTA</t>
  </si>
  <si>
    <t>revsTV</t>
  </si>
  <si>
    <t>highlow12m</t>
  </si>
  <si>
    <t>highlow1m</t>
  </si>
  <si>
    <t>highlow24m</t>
  </si>
  <si>
    <t>highlow3m</t>
  </si>
  <si>
    <t>highlow6m</t>
  </si>
  <si>
    <t>m52w</t>
  </si>
  <si>
    <t>rcon_pb_roll</t>
  </si>
  <si>
    <t>rcon_pe_roll</t>
  </si>
  <si>
    <t>rcon_ps_roll</t>
  </si>
  <si>
    <t>情绪</t>
    <phoneticPr fontId="5" type="noConversion"/>
  </si>
  <si>
    <t>动量</t>
    <phoneticPr fontId="5" type="noConversion"/>
  </si>
  <si>
    <t>cthl12m</t>
    <phoneticPr fontId="9" type="noConversion"/>
  </si>
  <si>
    <t>根据开盘和昨收，确定chtl的值。当高开时(open&gt;pclose)，chtl = high/pclose-1; 平开(opne=close), chtl=0；低开时(open&lt;pclose), chtl = low/pclose-1。因子值=sum(chtl)。剔除最近1个月后的11个月的累计值</t>
    <phoneticPr fontId="9" type="noConversion"/>
  </si>
  <si>
    <t>cthl24m</t>
    <phoneticPr fontId="9" type="noConversion"/>
  </si>
  <si>
    <t>cthl6m</t>
    <phoneticPr fontId="9" type="noConversion"/>
  </si>
  <si>
    <t>根据开盘和昨收，确定chtl的值。当高开时(open&gt;pclose)，chtl = high/pclose-1; 平开(opne=close), chtl=0；低开时(open&lt;pclose), chtl = low/pclose-1。因子值=sum(chtl)。剔除最近1个月后的5个月的累计值</t>
    <phoneticPr fontId="9" type="noConversion"/>
  </si>
  <si>
    <t>cthl9m</t>
    <phoneticPr fontId="9" type="noConversion"/>
  </si>
  <si>
    <t>根据开盘和昨收，确定chtl的值。当高开时(open&gt;pclose)，chtl = high/pclose-1; 平开(opne=close), chtl=0；低开时(open&lt;pclose), chtl = low/pclose-1。因子值=sum(chtl)。剔除最近1个月后的8个月的累计值</t>
    <phoneticPr fontId="9" type="noConversion"/>
  </si>
  <si>
    <t>cto12m</t>
    <phoneticPr fontId="9" type="noConversion"/>
  </si>
  <si>
    <t>隔日动量。使用sum(open/pclose-1）计算，open为开盘价，pclose为预测开盘价。剔除最近1个月后的11个月，逐日累加</t>
    <phoneticPr fontId="9" type="noConversion"/>
  </si>
  <si>
    <t>cto24m</t>
    <phoneticPr fontId="9" type="noConversion"/>
  </si>
  <si>
    <t>cto6m</t>
    <phoneticPr fontId="9" type="noConversion"/>
  </si>
  <si>
    <t>隔日动量。使用sum(open/pclose-1）计算，open为开盘价，pclose为预测开盘价。剔除最近1个月后的5个月，逐日累加</t>
    <phoneticPr fontId="9" type="noConversion"/>
  </si>
  <si>
    <t>cto9m</t>
    <phoneticPr fontId="9" type="noConversion"/>
  </si>
  <si>
    <t>隔日动量。使用sum(open/pclose-1）计算，open为开盘价，pclose为预测开盘价。剔除最近1个月后的8个月，逐日累加</t>
    <phoneticPr fontId="9" type="noConversion"/>
  </si>
  <si>
    <t>情绪</t>
    <phoneticPr fontId="5" type="noConversion"/>
  </si>
  <si>
    <t>新增</t>
    <phoneticPr fontId="9" type="noConversion"/>
  </si>
  <si>
    <t>momentum_t12</t>
    <phoneticPr fontId="9" type="noConversion"/>
  </si>
  <si>
    <t>过去一年的复权价格日序列对时间t作简单线性回归的t值,剔除最近一个月。</t>
    <phoneticPr fontId="9" type="noConversion"/>
  </si>
  <si>
    <t>momentum_t12</t>
    <phoneticPr fontId="5" type="noConversion"/>
  </si>
  <si>
    <t>是</t>
    <phoneticPr fontId="5" type="noConversion"/>
  </si>
  <si>
    <t>过去10个月(剔除最近一个)波动率调整后的动量，类似于夏普</t>
    <phoneticPr fontId="9" type="noConversion"/>
  </si>
  <si>
    <t>过去12个月(剔除最近一个)波动率调整后的动量，类似于夏普</t>
    <phoneticPr fontId="9" type="noConversion"/>
  </si>
  <si>
    <t>过去7个月(剔除最近一个)波动率调整后的动量，类似于夏普</t>
    <phoneticPr fontId="9" type="noConversion"/>
  </si>
  <si>
    <t>价值反转</t>
    <phoneticPr fontId="5" type="noConversion"/>
  </si>
  <si>
    <t>nrb2p</t>
    <phoneticPr fontId="9" type="noConversion"/>
  </si>
  <si>
    <t>过去1年相对nBP</t>
    <phoneticPr fontId="9" type="noConversion"/>
  </si>
  <si>
    <t>nrb2p</t>
    <phoneticPr fontId="5" type="noConversion"/>
  </si>
  <si>
    <t>nre2p</t>
    <phoneticPr fontId="9" type="noConversion"/>
  </si>
  <si>
    <t>过去1年相对nEP</t>
    <phoneticPr fontId="9" type="noConversion"/>
  </si>
  <si>
    <t>nre2p</t>
    <phoneticPr fontId="5" type="noConversion"/>
  </si>
  <si>
    <t>nrpegl</t>
    <phoneticPr fontId="9" type="noConversion"/>
  </si>
  <si>
    <t>同rpegl</t>
    <phoneticPr fontId="9" type="noConversion"/>
  </si>
  <si>
    <t>nrpegl</t>
    <phoneticPr fontId="5" type="noConversion"/>
  </si>
  <si>
    <t>nrpegs</t>
    <phoneticPr fontId="9" type="noConversion"/>
  </si>
  <si>
    <t>同rpegs</t>
    <phoneticPr fontId="9" type="noConversion"/>
  </si>
  <si>
    <t>nrpegs</t>
    <phoneticPr fontId="5" type="noConversion"/>
  </si>
  <si>
    <t>情绪</t>
    <phoneticPr fontId="5" type="noConversion"/>
  </si>
  <si>
    <t>价格</t>
    <phoneticPr fontId="5" type="noConversion"/>
  </si>
  <si>
    <t>price2vol</t>
    <phoneticPr fontId="9" type="noConversion"/>
  </si>
  <si>
    <r>
      <rPr>
        <sz val="10.5"/>
        <color theme="1"/>
        <rFont val="宋体"/>
        <family val="3"/>
        <charset val="134"/>
      </rPr>
      <t>上个交易日分钟成交数据的</t>
    </r>
    <r>
      <rPr>
        <sz val="10.5"/>
        <color theme="1"/>
        <rFont val="Calibri"/>
        <family val="2"/>
      </rPr>
      <t>&lt;close,vol_change)</t>
    </r>
    <r>
      <rPr>
        <sz val="10.5"/>
        <color theme="1"/>
        <rFont val="宋体"/>
        <family val="3"/>
        <charset val="134"/>
      </rPr>
      <t>的相关系数</t>
    </r>
    <phoneticPr fontId="9" type="noConversion"/>
  </si>
  <si>
    <t>pairs</t>
    <phoneticPr fontId="5" type="noConversion"/>
  </si>
  <si>
    <t>是</t>
    <phoneticPr fontId="5" type="noConversion"/>
  </si>
  <si>
    <t>pairs</t>
    <phoneticPr fontId="9" type="noConversion"/>
  </si>
  <si>
    <t>个股对行业的协整关系，个股回报对行业回报的均值回复</t>
    <phoneticPr fontId="9" type="noConversion"/>
  </si>
  <si>
    <t>pairs_l</t>
    <phoneticPr fontId="9" type="noConversion"/>
  </si>
  <si>
    <t>pairs_l</t>
    <phoneticPr fontId="5" type="noConversion"/>
  </si>
  <si>
    <t>价值反转</t>
    <phoneticPr fontId="5" type="noConversion"/>
  </si>
  <si>
    <t>rb2p</t>
    <phoneticPr fontId="9" type="noConversion"/>
  </si>
  <si>
    <t>历史相对BP</t>
    <phoneticPr fontId="9" type="noConversion"/>
  </si>
  <si>
    <t>rb2p</t>
    <phoneticPr fontId="5" type="noConversion"/>
  </si>
  <si>
    <t>rcon_pb_roll</t>
    <phoneticPr fontId="9" type="noConversion"/>
  </si>
  <si>
    <t>rcon_pe_roll</t>
    <phoneticPr fontId="9" type="noConversion"/>
  </si>
  <si>
    <r>
      <rPr>
        <sz val="10.5"/>
        <color theme="1"/>
        <rFont val="等线"/>
        <family val="2"/>
      </rPr>
      <t>一致预期滚动</t>
    </r>
    <r>
      <rPr>
        <sz val="10.5"/>
        <color theme="1"/>
        <rFont val="Calibri"/>
        <family val="2"/>
      </rPr>
      <t>PE</t>
    </r>
    <r>
      <rPr>
        <sz val="10.5"/>
        <color theme="1"/>
        <rFont val="等线"/>
        <family val="2"/>
      </rPr>
      <t>当前值相对最近</t>
    </r>
    <r>
      <rPr>
        <sz val="10.5"/>
        <color theme="1"/>
        <rFont val="Calibri"/>
        <family val="2"/>
      </rPr>
      <t>1</t>
    </r>
    <r>
      <rPr>
        <sz val="10.5"/>
        <color theme="1"/>
        <rFont val="等线"/>
        <family val="2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</si>
  <si>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t>rcon_peg_roll</t>
    <phoneticPr fontId="9" type="noConversion"/>
  </si>
  <si>
    <t>rcon_ps_roll</t>
    <phoneticPr fontId="9" type="noConversion"/>
  </si>
  <si>
    <t>re2p</t>
    <phoneticPr fontId="9" type="noConversion"/>
  </si>
  <si>
    <t>re2p</t>
    <phoneticPr fontId="5" type="noConversion"/>
  </si>
  <si>
    <t>ret12m</t>
    <phoneticPr fontId="9" type="noConversion"/>
  </si>
  <si>
    <t>过去12个月涨跌幅</t>
    <phoneticPr fontId="9" type="noConversion"/>
  </si>
  <si>
    <t>ret12m_1m</t>
    <phoneticPr fontId="9" type="noConversion"/>
  </si>
  <si>
    <t>过去12个月涨跌幅（剔除最近1月），实际为11个月</t>
    <phoneticPr fontId="9" type="noConversion"/>
  </si>
  <si>
    <t>ret1m</t>
    <phoneticPr fontId="9" type="noConversion"/>
  </si>
  <si>
    <t>过去1个月涨跌幅</t>
    <phoneticPr fontId="9" type="noConversion"/>
  </si>
  <si>
    <t>ret24m</t>
    <phoneticPr fontId="9" type="noConversion"/>
  </si>
  <si>
    <t>过去24个月涨跌幅</t>
    <phoneticPr fontId="9" type="noConversion"/>
  </si>
  <si>
    <t>ret24m_1m</t>
    <phoneticPr fontId="9" type="noConversion"/>
  </si>
  <si>
    <t>过去24个月涨跌幅（剔除最近1月），实际为23个月</t>
    <phoneticPr fontId="9" type="noConversion"/>
  </si>
  <si>
    <t>ret3m</t>
    <phoneticPr fontId="9" type="noConversion"/>
  </si>
  <si>
    <t>过去3个月涨跌幅</t>
    <phoneticPr fontId="9" type="noConversion"/>
  </si>
  <si>
    <t>ret3m_1m</t>
    <phoneticPr fontId="9" type="noConversion"/>
  </si>
  <si>
    <t>过去3个月涨跌幅（剔除最近1月），实际为2个月</t>
    <phoneticPr fontId="9" type="noConversion"/>
  </si>
  <si>
    <t>ret6m</t>
    <phoneticPr fontId="9" type="noConversion"/>
  </si>
  <si>
    <t>过去6个月涨跌幅</t>
    <phoneticPr fontId="9" type="noConversion"/>
  </si>
  <si>
    <t>ret6m_1m</t>
    <phoneticPr fontId="9" type="noConversion"/>
  </si>
  <si>
    <t>过去6个月涨跌幅（剔除最近1月），实际为5个月</t>
    <phoneticPr fontId="9" type="noConversion"/>
  </si>
  <si>
    <t>revs</t>
    <phoneticPr fontId="9" type="noConversion"/>
  </si>
  <si>
    <t>价格反转，最近40日日回报的时间加权</t>
    <phoneticPr fontId="9" type="noConversion"/>
  </si>
  <si>
    <t>revs</t>
    <phoneticPr fontId="5" type="noConversion"/>
  </si>
  <si>
    <t>rfy12p</t>
    <phoneticPr fontId="9" type="noConversion"/>
  </si>
  <si>
    <t>rfy12p</t>
    <phoneticPr fontId="5" type="noConversion"/>
  </si>
  <si>
    <t>rpegl</t>
    <phoneticPr fontId="9" type="noConversion"/>
  </si>
  <si>
    <t>rpegl</t>
    <phoneticPr fontId="5" type="noConversion"/>
  </si>
  <si>
    <t>rpegs</t>
    <phoneticPr fontId="9" type="noConversion"/>
  </si>
  <si>
    <t>rpegs</t>
    <phoneticPr fontId="5" type="noConversion"/>
  </si>
  <si>
    <t>spb</t>
    <phoneticPr fontId="9" type="noConversion"/>
  </si>
  <si>
    <t>spb</t>
    <phoneticPr fontId="5" type="noConversion"/>
  </si>
  <si>
    <t>一致预期潜在收益率(3家以上为tprtn1,1家以上为tprtn2）</t>
    <phoneticPr fontId="9" type="noConversion"/>
  </si>
  <si>
    <t>tprtn</t>
    <phoneticPr fontId="5" type="noConversion"/>
  </si>
  <si>
    <t>tprtn2</t>
    <phoneticPr fontId="9" type="noConversion"/>
  </si>
  <si>
    <t>tskew</t>
    <phoneticPr fontId="9" type="noConversion"/>
  </si>
  <si>
    <r>
      <rPr>
        <sz val="10.5"/>
        <color theme="1"/>
        <rFont val="宋体"/>
        <family val="3"/>
        <charset val="134"/>
      </rPr>
      <t>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年收益率偏态</t>
    </r>
    <phoneticPr fontId="9" type="noConversion"/>
  </si>
  <si>
    <t>tskew</t>
    <phoneticPr fontId="5" type="noConversion"/>
  </si>
  <si>
    <t>流动性</t>
    <phoneticPr fontId="5" type="noConversion"/>
  </si>
  <si>
    <t>turnover_amount1m</t>
    <phoneticPr fontId="9" type="noConversion"/>
  </si>
  <si>
    <t>turnover_amount3m</t>
    <phoneticPr fontId="9" type="noConversion"/>
  </si>
  <si>
    <t>turnover_amount6m</t>
    <phoneticPr fontId="9" type="noConversion"/>
  </si>
  <si>
    <t>turnover_amount12m</t>
    <phoneticPr fontId="9" type="noConversion"/>
  </si>
  <si>
    <t>turnover_amount24m</t>
    <phoneticPr fontId="9" type="noConversion"/>
  </si>
  <si>
    <t>turnover12m</t>
    <phoneticPr fontId="9" type="noConversion"/>
  </si>
  <si>
    <t>过去12个月换手率</t>
    <phoneticPr fontId="9" type="noConversion"/>
  </si>
  <si>
    <t>turnover1m</t>
    <phoneticPr fontId="9" type="noConversion"/>
  </si>
  <si>
    <t>过去1个月换手率</t>
    <phoneticPr fontId="9" type="noConversion"/>
  </si>
  <si>
    <t>turnover24m</t>
    <phoneticPr fontId="9" type="noConversion"/>
  </si>
  <si>
    <t>过去24个月换手率</t>
    <phoneticPr fontId="9" type="noConversion"/>
  </si>
  <si>
    <t>turnover3m</t>
    <phoneticPr fontId="9" type="noConversion"/>
  </si>
  <si>
    <t>过去3个月换手率</t>
    <phoneticPr fontId="9" type="noConversion"/>
  </si>
  <si>
    <t>turnover6m</t>
    <phoneticPr fontId="9" type="noConversion"/>
  </si>
  <si>
    <t>过去6个月换手率</t>
    <phoneticPr fontId="9" type="noConversion"/>
  </si>
  <si>
    <t>vol</t>
    <phoneticPr fontId="9" type="noConversion"/>
  </si>
  <si>
    <t>最近40天加权换手率，构造类似revs</t>
    <phoneticPr fontId="9" type="noConversion"/>
  </si>
  <si>
    <t>流动性</t>
    <phoneticPr fontId="5" type="noConversion"/>
  </si>
  <si>
    <t>vol_freeshr</t>
    <phoneticPr fontId="9" type="noConversion"/>
  </si>
  <si>
    <t>波动率</t>
    <phoneticPr fontId="5" type="noConversion"/>
  </si>
  <si>
    <t>volatility_actual12m</t>
    <phoneticPr fontId="9" type="noConversion"/>
  </si>
  <si>
    <t>volatility_actual1m</t>
    <phoneticPr fontId="9" type="noConversion"/>
  </si>
  <si>
    <t>volatility_actual24m</t>
    <phoneticPr fontId="9" type="noConversion"/>
  </si>
  <si>
    <t>volatility_actual3m</t>
    <phoneticPr fontId="9" type="noConversion"/>
  </si>
  <si>
    <t>volatility_actual6m</t>
    <phoneticPr fontId="9" type="noConversion"/>
  </si>
  <si>
    <t>volatility12m</t>
    <phoneticPr fontId="9" type="noConversion"/>
  </si>
  <si>
    <t>过去12个月的波动率（22个交易日）</t>
    <phoneticPr fontId="9" type="noConversion"/>
  </si>
  <si>
    <t>volatility1m</t>
    <phoneticPr fontId="9" type="noConversion"/>
  </si>
  <si>
    <t>过去1个月的波动率（22个交易日）</t>
    <phoneticPr fontId="9" type="noConversion"/>
  </si>
  <si>
    <t>volatility24m</t>
    <phoneticPr fontId="9" type="noConversion"/>
  </si>
  <si>
    <t>过去24个月的波动率（22个交易日）</t>
    <phoneticPr fontId="9" type="noConversion"/>
  </si>
  <si>
    <t>volatility3m</t>
    <phoneticPr fontId="9" type="noConversion"/>
  </si>
  <si>
    <t>过去3个月的波动率（22个交易日）</t>
    <phoneticPr fontId="9" type="noConversion"/>
  </si>
  <si>
    <t>volatility6m</t>
    <phoneticPr fontId="9" type="noConversion"/>
  </si>
  <si>
    <t>过去6个月的波动率（22个交易日）</t>
    <phoneticPr fontId="9" type="noConversion"/>
  </si>
  <si>
    <t>volume_volatility12m</t>
    <phoneticPr fontId="9" type="noConversion"/>
  </si>
  <si>
    <t>成交量波动率12m</t>
    <phoneticPr fontId="9" type="noConversion"/>
  </si>
  <si>
    <t>volume_volatility1m</t>
    <phoneticPr fontId="9" type="noConversion"/>
  </si>
  <si>
    <t>成交量波动率1m</t>
    <phoneticPr fontId="9" type="noConversion"/>
  </si>
  <si>
    <t>volume_volatility24m</t>
    <phoneticPr fontId="9" type="noConversion"/>
  </si>
  <si>
    <t>成交量波动率24m</t>
    <phoneticPr fontId="9" type="noConversion"/>
  </si>
  <si>
    <t>volume_volatility3m</t>
    <phoneticPr fontId="9" type="noConversion"/>
  </si>
  <si>
    <t>成交量波动率3m</t>
    <phoneticPr fontId="9" type="noConversion"/>
  </si>
  <si>
    <t>volume_volatility6m</t>
    <phoneticPr fontId="9" type="noConversion"/>
  </si>
  <si>
    <t>成交量波动率6m</t>
    <phoneticPr fontId="9" type="noConversion"/>
  </si>
  <si>
    <t>revsTV</t>
    <phoneticPr fontId="9" type="noConversion"/>
  </si>
  <si>
    <t>revsCut</t>
    <phoneticPr fontId="5" type="noConversion"/>
  </si>
  <si>
    <t>revsTA</t>
    <phoneticPr fontId="9" type="noConversion"/>
  </si>
  <si>
    <t>quot</t>
    <phoneticPr fontId="9" type="noConversion"/>
  </si>
  <si>
    <t>davol_freeshr</t>
    <phoneticPr fontId="9" type="noConversion"/>
  </si>
  <si>
    <t>quot</t>
    <phoneticPr fontId="9" type="noConversion"/>
  </si>
  <si>
    <t>drmom6m</t>
    <phoneticPr fontId="9" type="noConversion"/>
  </si>
  <si>
    <t>illiq</t>
  </si>
  <si>
    <t>rcon_eps_roll</t>
    <phoneticPr fontId="9" type="noConversion"/>
  </si>
  <si>
    <t>illiq</t>
    <phoneticPr fontId="9" type="noConversion"/>
  </si>
  <si>
    <t>mom3_con_eps_roll</t>
    <phoneticPr fontId="9" type="noConversion"/>
  </si>
  <si>
    <t>tprtn1</t>
    <phoneticPr fontId="9" type="noConversion"/>
  </si>
  <si>
    <t>lsf</t>
    <phoneticPr fontId="9" type="noConversion"/>
  </si>
  <si>
    <t>m52w</t>
    <phoneticPr fontId="9" type="noConversion"/>
  </si>
  <si>
    <t>quot</t>
    <phoneticPr fontId="9" type="noConversion"/>
  </si>
  <si>
    <r>
      <rPr>
        <sz val="10.5"/>
        <color theme="1"/>
        <rFont val="等线"/>
        <family val="2"/>
      </rPr>
      <t>一致预期滚动</t>
    </r>
    <r>
      <rPr>
        <sz val="10.5"/>
        <color theme="1"/>
        <rFont val="Calibri"/>
        <family val="2"/>
      </rPr>
      <t>PEPS</t>
    </r>
    <r>
      <rPr>
        <sz val="10.5"/>
        <color theme="1"/>
        <rFont val="等线"/>
        <family val="2"/>
      </rPr>
      <t>当前值相对最近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</si>
  <si>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r>
      <rPr>
        <sz val="10.5"/>
        <color theme="1"/>
        <rFont val="等线"/>
        <family val="2"/>
      </rPr>
      <t>一致预期滚动</t>
    </r>
    <r>
      <rPr>
        <sz val="10.5"/>
        <color theme="1"/>
        <rFont val="Calibri"/>
        <family val="2"/>
      </rPr>
      <t>PB</t>
    </r>
    <r>
      <rPr>
        <sz val="10.5"/>
        <color theme="1"/>
        <rFont val="等线"/>
        <family val="2"/>
      </rPr>
      <t>当前值相对最近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</si>
  <si>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r>
      <rPr>
        <sz val="10.5"/>
        <color theme="1"/>
        <rFont val="等线"/>
        <family val="2"/>
      </rPr>
      <t>一致预期滚动</t>
    </r>
    <r>
      <rPr>
        <sz val="10.5"/>
        <color theme="1"/>
        <rFont val="Calibri"/>
        <family val="2"/>
      </rPr>
      <t>PEG</t>
    </r>
    <r>
      <rPr>
        <sz val="10.5"/>
        <color theme="1"/>
        <rFont val="等线"/>
        <family val="2"/>
      </rPr>
      <t>当前值相对最近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</si>
  <si>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r>
      <rPr>
        <sz val="10.5"/>
        <color theme="1"/>
        <rFont val="等线"/>
        <family val="2"/>
      </rPr>
      <t>一致预期滚动</t>
    </r>
    <r>
      <rPr>
        <sz val="10.5"/>
        <color theme="1"/>
        <rFont val="Calibri"/>
        <family val="2"/>
      </rPr>
      <t>PS</t>
    </r>
    <r>
      <rPr>
        <sz val="10.5"/>
        <color theme="1"/>
        <rFont val="等线"/>
        <family val="2"/>
      </rPr>
      <t>当前值相对最近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</si>
  <si>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t>rcon_forcast</t>
    <phoneticPr fontId="9" type="noConversion"/>
  </si>
  <si>
    <r>
      <t>E2P</t>
    </r>
    <r>
      <rPr>
        <sz val="10.5"/>
        <color theme="1"/>
        <rFont val="宋体"/>
        <family val="3"/>
        <charset val="134"/>
      </rPr>
      <t>当前值相对最近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</si>
  <si>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r>
      <t>fy12p</t>
    </r>
    <r>
      <rPr>
        <sz val="10.5"/>
        <color theme="1"/>
        <rFont val="宋体"/>
        <family val="3"/>
        <charset val="134"/>
      </rPr>
      <t>当前值相对最近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</si>
  <si>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r>
      <t>pegl</t>
    </r>
    <r>
      <rPr>
        <sz val="10.5"/>
        <color theme="1"/>
        <rFont val="宋体"/>
        <family val="3"/>
        <charset val="134"/>
      </rPr>
      <t>当前值相对最近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</si>
  <si>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r>
      <t>pegs</t>
    </r>
    <r>
      <rPr>
        <sz val="10.5"/>
        <color theme="1"/>
        <rFont val="宋体"/>
        <family val="3"/>
        <charset val="134"/>
      </rPr>
      <t>当前值相对最近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年的</t>
    </r>
    <r>
      <rPr>
        <sz val="10.5"/>
        <color theme="1"/>
        <rFont val="Calibri"/>
        <family val="2"/>
      </rPr>
      <t>zscore</t>
    </r>
    <phoneticPr fontId="9" type="noConversion"/>
  </si>
  <si>
    <r>
      <rPr>
        <sz val="10.5"/>
        <color theme="1"/>
        <rFont val="宋体"/>
        <family val="3"/>
        <charset val="134"/>
      </rPr>
      <t>类似</t>
    </r>
    <r>
      <rPr>
        <sz val="10.5"/>
        <color theme="1"/>
        <rFont val="Calibri"/>
        <family val="2"/>
      </rPr>
      <t>pairs</t>
    </r>
    <r>
      <rPr>
        <sz val="10.5"/>
        <color theme="1"/>
        <rFont val="Microsoft YaHei"/>
        <family val="2"/>
        <charset val="134"/>
      </rPr>
      <t>，</t>
    </r>
    <r>
      <rPr>
        <sz val="10.5"/>
        <color theme="1"/>
        <rFont val="Calibri"/>
        <family val="2"/>
      </rPr>
      <t>pairs</t>
    </r>
    <r>
      <rPr>
        <sz val="10.5"/>
        <color theme="1"/>
        <rFont val="Microsoft YaHei"/>
        <family val="2"/>
        <charset val="134"/>
      </rPr>
      <t>分组采用中性二级分类。</t>
    </r>
    <r>
      <rPr>
        <sz val="10.5"/>
        <color theme="1"/>
        <rFont val="Calibri"/>
        <family val="2"/>
      </rPr>
      <t>Spb</t>
    </r>
    <r>
      <rPr>
        <sz val="10.5"/>
        <color theme="1"/>
        <rFont val="Microsoft YaHei"/>
        <family val="2"/>
        <charset val="134"/>
      </rPr>
      <t>采用收益率回归相关性分组</t>
    </r>
    <phoneticPr fontId="9" type="noConversion"/>
  </si>
  <si>
    <t>vol</t>
    <phoneticPr fontId="9" type="noConversion"/>
  </si>
  <si>
    <t>vol_freeshr</t>
    <phoneticPr fontId="9" type="noConversion"/>
  </si>
  <si>
    <t>tprtn1</t>
  </si>
  <si>
    <t>不变</t>
  </si>
  <si>
    <t>不变</t>
    <phoneticPr fontId="9" type="noConversion"/>
  </si>
  <si>
    <t>价值反转</t>
    <phoneticPr fontId="9" type="noConversion"/>
  </si>
  <si>
    <t>价值反转</t>
    <phoneticPr fontId="5" type="noConversion"/>
  </si>
  <si>
    <r>
      <t>1</t>
    </r>
    <r>
      <rPr>
        <sz val="10.5"/>
        <color theme="1"/>
        <rFont val="宋体"/>
        <family val="3"/>
        <charset val="134"/>
      </rPr>
      <t>个月成交额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收益率标准差。可以理解为单位风险下的成交额</t>
    </r>
    <phoneticPr fontId="9" type="noConversion"/>
  </si>
  <si>
    <r>
      <rPr>
        <sz val="10.5"/>
        <color theme="1"/>
        <rFont val="宋体"/>
        <family val="3"/>
        <charset val="134"/>
      </rPr>
      <t>非流动性因子，单位成交金额的涨跌幅。</t>
    </r>
    <r>
      <rPr>
        <sz val="10.5"/>
        <color theme="1"/>
        <rFont val="Calibri"/>
        <family val="2"/>
      </rPr>
      <t>average(abs(t)/amount(t))</t>
    </r>
    <phoneticPr fontId="9" type="noConversion"/>
  </si>
  <si>
    <r>
      <t>3</t>
    </r>
    <r>
      <rPr>
        <sz val="10.5"/>
        <color theme="1"/>
        <rFont val="宋体"/>
        <family val="3"/>
        <charset val="134"/>
      </rPr>
      <t>个月成交额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收益率标准差。可以理解为单位风险下的成交额</t>
    </r>
    <phoneticPr fontId="9" type="noConversion"/>
  </si>
  <si>
    <r>
      <t>6</t>
    </r>
    <r>
      <rPr>
        <sz val="10.5"/>
        <color theme="1"/>
        <rFont val="宋体"/>
        <family val="3"/>
        <charset val="134"/>
      </rPr>
      <t>个月成交额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收益率标准差。可以理解为单位风险下的成交额</t>
    </r>
    <phoneticPr fontId="9" type="noConversion"/>
  </si>
  <si>
    <r>
      <t>12</t>
    </r>
    <r>
      <rPr>
        <sz val="10.5"/>
        <color theme="1"/>
        <rFont val="宋体"/>
        <family val="3"/>
        <charset val="134"/>
      </rPr>
      <t>个月成交额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收益率标准差。可以理解为单位风险下的成交额</t>
    </r>
    <phoneticPr fontId="9" type="noConversion"/>
  </si>
  <si>
    <r>
      <t>24</t>
    </r>
    <r>
      <rPr>
        <sz val="10.5"/>
        <color theme="1"/>
        <rFont val="宋体"/>
        <family val="3"/>
        <charset val="134"/>
      </rPr>
      <t>个月成交额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收益率标准差。可以理解为单位风险下的成交额</t>
    </r>
    <phoneticPr fontId="9" type="noConversion"/>
  </si>
  <si>
    <r>
      <rPr>
        <sz val="10.5"/>
        <color theme="1"/>
        <rFont val="宋体"/>
        <family val="3"/>
        <charset val="134"/>
      </rPr>
      <t>最近三个月买卖循环率，买卖循环率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日均成交金额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日均流通市值，取负号</t>
    </r>
    <phoneticPr fontId="9" type="noConversion"/>
  </si>
  <si>
    <r>
      <rPr>
        <sz val="10.5"/>
        <color theme="1"/>
        <rFont val="宋体"/>
        <family val="3"/>
        <charset val="134"/>
      </rPr>
      <t>最近六个月买卖循环率，买卖循环率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日均成交金额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日均流通市值，取负号</t>
    </r>
    <phoneticPr fontId="9" type="noConversion"/>
  </si>
  <si>
    <r>
      <rPr>
        <sz val="10.5"/>
        <color theme="1"/>
        <rFont val="宋体"/>
        <family val="3"/>
        <charset val="134"/>
      </rPr>
      <t>最近</t>
    </r>
    <r>
      <rPr>
        <sz val="10.5"/>
        <color theme="1"/>
        <rFont val="Calibri"/>
        <family val="2"/>
      </rPr>
      <t>12</t>
    </r>
    <r>
      <rPr>
        <sz val="10.5"/>
        <color theme="1"/>
        <rFont val="宋体"/>
        <family val="3"/>
        <charset val="134"/>
      </rPr>
      <t>个月买卖循环率，买卖循环率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日均成交金额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日均流通市值，取负号</t>
    </r>
    <phoneticPr fontId="9" type="noConversion"/>
  </si>
  <si>
    <r>
      <rPr>
        <sz val="10.5"/>
        <color theme="1"/>
        <rFont val="宋体"/>
        <family val="3"/>
        <charset val="134"/>
      </rPr>
      <t>最近</t>
    </r>
    <r>
      <rPr>
        <sz val="10.5"/>
        <color theme="1"/>
        <rFont val="Calibri"/>
        <family val="2"/>
      </rPr>
      <t>24</t>
    </r>
    <r>
      <rPr>
        <sz val="10.5"/>
        <color theme="1"/>
        <rFont val="宋体"/>
        <family val="3"/>
        <charset val="134"/>
      </rPr>
      <t>个月买卖循环率，买卖循环率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日均成交金额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日均流通市值，取负号</t>
    </r>
    <phoneticPr fontId="9" type="noConversion"/>
  </si>
  <si>
    <r>
      <rPr>
        <sz val="10.5"/>
        <color theme="1"/>
        <rFont val="宋体"/>
        <family val="3"/>
        <charset val="134"/>
      </rPr>
      <t>最近一个月买卖循环率，买卖循环率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日均成交金额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日均流通市值，取负号。等同于换手率</t>
    </r>
    <phoneticPr fontId="9" type="noConversion"/>
  </si>
  <si>
    <r>
      <rPr>
        <sz val="10.5"/>
        <color theme="1"/>
        <rFont val="宋体"/>
        <family val="3"/>
        <charset val="134"/>
      </rPr>
      <t>过去</t>
    </r>
    <r>
      <rPr>
        <sz val="10.5"/>
        <color theme="1"/>
        <rFont val="Calibri"/>
        <family val="2"/>
      </rPr>
      <t>12m</t>
    </r>
    <r>
      <rPr>
        <sz val="10.5"/>
        <color theme="1"/>
        <rFont val="宋体"/>
        <family val="3"/>
        <charset val="134"/>
      </rPr>
      <t>日内真实波幅均值</t>
    </r>
    <r>
      <rPr>
        <sz val="10.5"/>
        <color theme="1"/>
        <rFont val="Calibri"/>
        <family val="2"/>
      </rPr>
      <t>,</t>
    </r>
    <r>
      <rPr>
        <sz val="10.5"/>
        <color theme="1"/>
        <rFont val="宋体"/>
        <family val="3"/>
        <charset val="134"/>
      </rPr>
      <t>每日真实波幅</t>
    </r>
    <r>
      <rPr>
        <sz val="10.5"/>
        <color theme="1"/>
        <rFont val="Calibri"/>
        <family val="2"/>
      </rPr>
      <t>TR = max(High-Low,abs(PreClose-High),abs(PreClose-Low))/PreClose</t>
    </r>
    <phoneticPr fontId="9" type="noConversion"/>
  </si>
  <si>
    <r>
      <rPr>
        <sz val="10.5"/>
        <color theme="1"/>
        <rFont val="宋体"/>
        <family val="3"/>
        <charset val="134"/>
      </rPr>
      <t>过去</t>
    </r>
    <r>
      <rPr>
        <sz val="10.5"/>
        <color theme="1"/>
        <rFont val="Calibri"/>
        <family val="2"/>
      </rPr>
      <t>1m</t>
    </r>
    <r>
      <rPr>
        <sz val="10.5"/>
        <color theme="1"/>
        <rFont val="宋体"/>
        <family val="3"/>
        <charset val="134"/>
      </rPr>
      <t>日内真实波幅均值，每日真实波幅</t>
    </r>
    <r>
      <rPr>
        <sz val="10.5"/>
        <color theme="1"/>
        <rFont val="Calibri"/>
        <family val="2"/>
      </rPr>
      <t>TR = max(High-Low,abs(PreClose-High),abs(PreClose-Low))/PreClose</t>
    </r>
    <phoneticPr fontId="9" type="noConversion"/>
  </si>
  <si>
    <r>
      <rPr>
        <sz val="10.5"/>
        <color theme="1"/>
        <rFont val="宋体"/>
        <family val="3"/>
        <charset val="134"/>
      </rPr>
      <t>过去</t>
    </r>
    <r>
      <rPr>
        <sz val="10.5"/>
        <color theme="1"/>
        <rFont val="Calibri"/>
        <family val="2"/>
      </rPr>
      <t>24m</t>
    </r>
    <r>
      <rPr>
        <sz val="10.5"/>
        <color theme="1"/>
        <rFont val="宋体"/>
        <family val="3"/>
        <charset val="134"/>
      </rPr>
      <t>日内真实波幅均值，每日真实波幅</t>
    </r>
    <r>
      <rPr>
        <sz val="10.5"/>
        <color theme="1"/>
        <rFont val="Calibri"/>
        <family val="2"/>
      </rPr>
      <t>TR = max(High-Low,abs(PreClose-High),abs(PreClose-Low))/PreClose</t>
    </r>
    <phoneticPr fontId="9" type="noConversion"/>
  </si>
  <si>
    <r>
      <rPr>
        <sz val="10.5"/>
        <color theme="1"/>
        <rFont val="宋体"/>
        <family val="3"/>
        <charset val="134"/>
      </rPr>
      <t>过去</t>
    </r>
    <r>
      <rPr>
        <sz val="10.5"/>
        <color theme="1"/>
        <rFont val="Calibri"/>
        <family val="2"/>
      </rPr>
      <t>3m</t>
    </r>
    <r>
      <rPr>
        <sz val="10.5"/>
        <color theme="1"/>
        <rFont val="宋体"/>
        <family val="3"/>
        <charset val="134"/>
      </rPr>
      <t>日内真实波幅均值，每日真实波幅</t>
    </r>
    <r>
      <rPr>
        <sz val="10.5"/>
        <color theme="1"/>
        <rFont val="Calibri"/>
        <family val="2"/>
      </rPr>
      <t>TR = max(High-Low,abs(PreClose-High),abs(PreClose-Low))/PreClose</t>
    </r>
    <phoneticPr fontId="9" type="noConversion"/>
  </si>
  <si>
    <r>
      <rPr>
        <sz val="10.5"/>
        <color theme="1"/>
        <rFont val="宋体"/>
        <family val="3"/>
        <charset val="134"/>
      </rPr>
      <t>过去</t>
    </r>
    <r>
      <rPr>
        <sz val="10.5"/>
        <color theme="1"/>
        <rFont val="Calibri"/>
        <family val="2"/>
      </rPr>
      <t>6m</t>
    </r>
    <r>
      <rPr>
        <sz val="10.5"/>
        <color theme="1"/>
        <rFont val="宋体"/>
        <family val="3"/>
        <charset val="134"/>
      </rPr>
      <t>日内真实波幅均值，每日真实波幅</t>
    </r>
    <r>
      <rPr>
        <sz val="10.5"/>
        <color theme="1"/>
        <rFont val="Calibri"/>
        <family val="2"/>
      </rPr>
      <t>TR = max(High-Low,abs(PreClose-High),abs(PreClose-Low))/PreClose</t>
    </r>
    <phoneticPr fontId="9" type="noConversion"/>
  </si>
  <si>
    <r>
      <rPr>
        <sz val="10.5"/>
        <color theme="1"/>
        <rFont val="宋体"/>
        <family val="3"/>
        <charset val="134"/>
      </rPr>
      <t>基本的反转是过去一段时间收益率的叠加。将反转按照时间段进行切割可以发现，日内反转，日间动量。将过去</t>
    </r>
    <r>
      <rPr>
        <sz val="10.5"/>
        <color theme="1"/>
        <rFont val="Calibri"/>
        <family val="2"/>
      </rPr>
      <t>40</t>
    </r>
    <r>
      <rPr>
        <sz val="10.5"/>
        <color theme="1"/>
        <rFont val="宋体"/>
        <family val="3"/>
        <charset val="134"/>
      </rPr>
      <t>天按照单笔成交量（成交量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成交笔数），最大的</t>
    </r>
    <r>
      <rPr>
        <sz val="10.5"/>
        <color theme="1"/>
        <rFont val="Calibri"/>
        <family val="2"/>
      </rPr>
      <t>40%</t>
    </r>
    <r>
      <rPr>
        <sz val="10.5"/>
        <color theme="1"/>
        <rFont val="宋体"/>
        <family val="3"/>
        <charset val="134"/>
      </rPr>
      <t>天数计算累计收益</t>
    </r>
    <r>
      <rPr>
        <sz val="10.5"/>
        <color theme="1"/>
        <rFont val="Calibri"/>
        <family val="2"/>
      </rPr>
      <t>ret1,</t>
    </r>
    <r>
      <rPr>
        <sz val="10.5"/>
        <color theme="1"/>
        <rFont val="宋体"/>
        <family val="3"/>
        <charset val="134"/>
      </rPr>
      <t>最小</t>
    </r>
    <r>
      <rPr>
        <sz val="10.5"/>
        <color theme="1"/>
        <rFont val="Calibri"/>
        <family val="2"/>
      </rPr>
      <t>20%</t>
    </r>
    <r>
      <rPr>
        <sz val="10.5"/>
        <color theme="1"/>
        <rFont val="宋体"/>
        <family val="3"/>
        <charset val="134"/>
      </rPr>
      <t>天数累计收益计算</t>
    </r>
    <r>
      <rPr>
        <sz val="10.5"/>
        <color theme="1"/>
        <rFont val="Calibri"/>
        <family val="2"/>
      </rPr>
      <t>ret2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Ret2-ret1</t>
    </r>
    <r>
      <rPr>
        <sz val="10.5"/>
        <color theme="1"/>
        <rFont val="宋体"/>
        <family val="3"/>
        <charset val="134"/>
      </rPr>
      <t>作为新的反转因子</t>
    </r>
    <r>
      <rPr>
        <sz val="10.5"/>
        <color theme="1"/>
        <rFont val="Calibri"/>
        <family val="2"/>
      </rPr>
      <t>revsTV</t>
    </r>
    <phoneticPr fontId="9" type="noConversion"/>
  </si>
  <si>
    <r>
      <rPr>
        <sz val="10.5"/>
        <color theme="1"/>
        <rFont val="宋体"/>
        <family val="3"/>
        <charset val="134"/>
      </rPr>
      <t>类似</t>
    </r>
    <r>
      <rPr>
        <sz val="10.5"/>
        <color theme="1"/>
        <rFont val="Calibri"/>
        <family val="2"/>
      </rPr>
      <t>revsTV,</t>
    </r>
    <r>
      <rPr>
        <sz val="10.5"/>
        <color theme="1"/>
        <rFont val="宋体"/>
        <family val="3"/>
        <charset val="134"/>
      </rPr>
      <t>此处是单笔成交金额。基本的反转是过去一段时间收益率的叠加。将反转按照时间段进行切割可以发现，日内反转，日间动量。将过去</t>
    </r>
    <r>
      <rPr>
        <sz val="10.5"/>
        <color theme="1"/>
        <rFont val="Calibri"/>
        <family val="2"/>
      </rPr>
      <t>40</t>
    </r>
    <r>
      <rPr>
        <sz val="10.5"/>
        <color theme="1"/>
        <rFont val="宋体"/>
        <family val="3"/>
        <charset val="134"/>
      </rPr>
      <t>天按照单笔成交量（成交量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成交笔数），最大的</t>
    </r>
    <r>
      <rPr>
        <sz val="10.5"/>
        <color theme="1"/>
        <rFont val="Calibri"/>
        <family val="2"/>
      </rPr>
      <t>40%</t>
    </r>
    <r>
      <rPr>
        <sz val="10.5"/>
        <color theme="1"/>
        <rFont val="宋体"/>
        <family val="3"/>
        <charset val="134"/>
      </rPr>
      <t>天数计算累计收益</t>
    </r>
    <r>
      <rPr>
        <sz val="10.5"/>
        <color theme="1"/>
        <rFont val="Calibri"/>
        <family val="2"/>
      </rPr>
      <t>ret1,</t>
    </r>
    <r>
      <rPr>
        <sz val="10.5"/>
        <color theme="1"/>
        <rFont val="宋体"/>
        <family val="3"/>
        <charset val="134"/>
      </rPr>
      <t>最小</t>
    </r>
    <r>
      <rPr>
        <sz val="10.5"/>
        <color theme="1"/>
        <rFont val="Calibri"/>
        <family val="2"/>
      </rPr>
      <t>20%</t>
    </r>
    <r>
      <rPr>
        <sz val="10.5"/>
        <color theme="1"/>
        <rFont val="宋体"/>
        <family val="3"/>
        <charset val="134"/>
      </rPr>
      <t>天数累计收益计算</t>
    </r>
    <r>
      <rPr>
        <sz val="10.5"/>
        <color theme="1"/>
        <rFont val="Calibri"/>
        <family val="2"/>
      </rPr>
      <t>ret2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ret2-ret1</t>
    </r>
    <r>
      <rPr>
        <sz val="10.5"/>
        <color theme="1"/>
        <rFont val="宋体"/>
        <family val="3"/>
        <charset val="134"/>
      </rPr>
      <t>作为新的反转因子</t>
    </r>
    <r>
      <rPr>
        <sz val="10.5"/>
        <color theme="1"/>
        <rFont val="Calibri"/>
        <family val="2"/>
      </rPr>
      <t>revsTV</t>
    </r>
    <phoneticPr fontId="9" type="noConversion"/>
  </si>
  <si>
    <t>子主题</t>
    <phoneticPr fontId="5" type="noConversion"/>
  </si>
  <si>
    <t>新增</t>
    <phoneticPr fontId="5" type="noConversion"/>
  </si>
  <si>
    <t>换手率低，使用于构建月度以上</t>
    <phoneticPr fontId="5" type="noConversion"/>
  </si>
  <si>
    <r>
      <t>y(R_id)</t>
    </r>
    <r>
      <rPr>
        <sz val="10.5"/>
        <color theme="1"/>
        <rFont val="宋体"/>
        <family val="3"/>
        <charset val="134"/>
      </rPr>
      <t>表示股票</t>
    </r>
    <r>
      <rPr>
        <sz val="10.5"/>
        <color theme="1"/>
        <rFont val="Calibri"/>
        <family val="2"/>
      </rPr>
      <t>d</t>
    </r>
    <r>
      <rPr>
        <sz val="10.5"/>
        <color theme="1"/>
        <rFont val="宋体"/>
        <family val="3"/>
        <charset val="134"/>
      </rPr>
      <t>在第</t>
    </r>
    <r>
      <rPr>
        <sz val="10.5"/>
        <color theme="1"/>
        <rFont val="Calibri"/>
        <family val="2"/>
      </rPr>
      <t>i</t>
    </r>
    <r>
      <rPr>
        <sz val="10.5"/>
        <color theme="1"/>
        <rFont val="宋体"/>
        <family val="3"/>
        <charset val="134"/>
      </rPr>
      <t>天的收益率排序，每个月计算个股的平均排名，计算个股</t>
    </r>
    <r>
      <rPr>
        <sz val="10.5"/>
        <color theme="1"/>
        <rFont val="Calibri"/>
        <family val="2"/>
      </rPr>
      <t>11</t>
    </r>
    <r>
      <rPr>
        <sz val="10.5"/>
        <color theme="1"/>
        <rFont val="宋体"/>
        <family val="3"/>
        <charset val="134"/>
      </rPr>
      <t>个月内的平均排名。</t>
    </r>
    <r>
      <rPr>
        <sz val="10.5"/>
        <color theme="1"/>
        <rFont val="Calibri"/>
        <family val="2"/>
      </rPr>
      <t>Sign</t>
    </r>
    <r>
      <rPr>
        <sz val="10.5"/>
        <color theme="1"/>
        <rFont val="宋体"/>
        <family val="3"/>
        <charset val="134"/>
      </rPr>
      <t>为个股涨跌计数（上涨计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，下跌计</t>
    </r>
    <r>
      <rPr>
        <sz val="10.5"/>
        <color theme="1"/>
        <rFont val="Calibri"/>
        <family val="2"/>
      </rPr>
      <t>0)</t>
    </r>
    <r>
      <rPr>
        <sz val="10.5"/>
        <color theme="1"/>
        <rFont val="宋体"/>
        <family val="3"/>
        <charset val="134"/>
      </rPr>
      <t>，计算个股</t>
    </r>
    <r>
      <rPr>
        <sz val="10.5"/>
        <color theme="1"/>
        <rFont val="Calibri"/>
        <family val="2"/>
      </rPr>
      <t>11</t>
    </r>
    <r>
      <rPr>
        <sz val="10.5"/>
        <color theme="1"/>
        <rFont val="宋体"/>
        <family val="3"/>
        <charset val="134"/>
      </rPr>
      <t>个月内上涨天数的排序。</t>
    </r>
    <r>
      <rPr>
        <sz val="10.5"/>
        <color theme="1"/>
        <rFont val="Calibri"/>
        <family val="2"/>
      </rPr>
      <t xml:space="preserve">Drmom = </t>
    </r>
    <r>
      <rPr>
        <sz val="10.5"/>
        <color theme="1"/>
        <rFont val="宋体"/>
        <family val="3"/>
        <charset val="134"/>
      </rPr>
      <t>两个排序相加，剔除最近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个月，实际为</t>
    </r>
    <r>
      <rPr>
        <sz val="10.5"/>
        <color theme="1"/>
        <rFont val="Calibri"/>
        <family val="2"/>
      </rPr>
      <t>11</t>
    </r>
    <r>
      <rPr>
        <sz val="10.5"/>
        <color theme="1"/>
        <rFont val="宋体"/>
        <family val="3"/>
        <charset val="134"/>
      </rPr>
      <t>个月</t>
    </r>
    <phoneticPr fontId="9" type="noConversion"/>
  </si>
  <si>
    <r>
      <t>y(R_id)</t>
    </r>
    <r>
      <rPr>
        <sz val="10.5"/>
        <color theme="1"/>
        <rFont val="宋体"/>
        <family val="3"/>
        <charset val="134"/>
      </rPr>
      <t>表示股票</t>
    </r>
    <r>
      <rPr>
        <sz val="10.5"/>
        <color theme="1"/>
        <rFont val="Calibri"/>
        <family val="2"/>
      </rPr>
      <t>d</t>
    </r>
    <r>
      <rPr>
        <sz val="10.5"/>
        <color theme="1"/>
        <rFont val="宋体"/>
        <family val="3"/>
        <charset val="134"/>
      </rPr>
      <t>在第</t>
    </r>
    <r>
      <rPr>
        <sz val="10.5"/>
        <color theme="1"/>
        <rFont val="Calibri"/>
        <family val="2"/>
      </rPr>
      <t>i</t>
    </r>
    <r>
      <rPr>
        <sz val="10.5"/>
        <color theme="1"/>
        <rFont val="宋体"/>
        <family val="3"/>
        <charset val="134"/>
      </rPr>
      <t>天的收益率排序，每个月计算个股的平均排名，计算个股</t>
    </r>
    <r>
      <rPr>
        <sz val="10.5"/>
        <color theme="1"/>
        <rFont val="Calibri"/>
        <family val="2"/>
      </rPr>
      <t>24</t>
    </r>
    <r>
      <rPr>
        <sz val="10.5"/>
        <color theme="1"/>
        <rFont val="宋体"/>
        <family val="3"/>
        <charset val="134"/>
      </rPr>
      <t>个月内的平均排名。</t>
    </r>
    <r>
      <rPr>
        <sz val="10.5"/>
        <color theme="1"/>
        <rFont val="Calibri"/>
        <family val="2"/>
      </rPr>
      <t>Sign</t>
    </r>
    <r>
      <rPr>
        <sz val="10.5"/>
        <color theme="1"/>
        <rFont val="宋体"/>
        <family val="3"/>
        <charset val="134"/>
      </rPr>
      <t>为个股涨跌计数（上涨计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，下跌计</t>
    </r>
    <r>
      <rPr>
        <sz val="10.5"/>
        <color theme="1"/>
        <rFont val="Calibri"/>
        <family val="2"/>
      </rPr>
      <t>0)</t>
    </r>
    <r>
      <rPr>
        <sz val="10.5"/>
        <color theme="1"/>
        <rFont val="宋体"/>
        <family val="3"/>
        <charset val="134"/>
      </rPr>
      <t>，计算个股</t>
    </r>
    <r>
      <rPr>
        <sz val="10.5"/>
        <color theme="1"/>
        <rFont val="Calibri"/>
        <family val="2"/>
      </rPr>
      <t>24</t>
    </r>
    <r>
      <rPr>
        <sz val="10.5"/>
        <color theme="1"/>
        <rFont val="宋体"/>
        <family val="3"/>
        <charset val="134"/>
      </rPr>
      <t>个月内上涨天数的排序。</t>
    </r>
    <r>
      <rPr>
        <sz val="10.5"/>
        <color theme="1"/>
        <rFont val="Calibri"/>
        <family val="2"/>
      </rPr>
      <t xml:space="preserve">Drmom = </t>
    </r>
    <r>
      <rPr>
        <sz val="10.5"/>
        <color theme="1"/>
        <rFont val="宋体"/>
        <family val="3"/>
        <charset val="134"/>
      </rPr>
      <t>两个排序相加，剔除最近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个月，实际为</t>
    </r>
    <r>
      <rPr>
        <sz val="10.5"/>
        <color theme="1"/>
        <rFont val="Calibri"/>
        <family val="2"/>
      </rPr>
      <t>23</t>
    </r>
    <r>
      <rPr>
        <sz val="10.5"/>
        <color theme="1"/>
        <rFont val="宋体"/>
        <family val="3"/>
        <charset val="134"/>
      </rPr>
      <t>个月</t>
    </r>
    <phoneticPr fontId="9" type="noConversion"/>
  </si>
  <si>
    <r>
      <t>y(R_id)</t>
    </r>
    <r>
      <rPr>
        <sz val="10.5"/>
        <color theme="1"/>
        <rFont val="宋体"/>
        <family val="3"/>
        <charset val="134"/>
      </rPr>
      <t>表示股票</t>
    </r>
    <r>
      <rPr>
        <sz val="10.5"/>
        <color theme="1"/>
        <rFont val="Calibri"/>
        <family val="2"/>
      </rPr>
      <t>d</t>
    </r>
    <r>
      <rPr>
        <sz val="10.5"/>
        <color theme="1"/>
        <rFont val="宋体"/>
        <family val="3"/>
        <charset val="134"/>
      </rPr>
      <t>在第</t>
    </r>
    <r>
      <rPr>
        <sz val="10.5"/>
        <color theme="1"/>
        <rFont val="Calibri"/>
        <family val="2"/>
      </rPr>
      <t>i</t>
    </r>
    <r>
      <rPr>
        <sz val="10.5"/>
        <color theme="1"/>
        <rFont val="宋体"/>
        <family val="3"/>
        <charset val="134"/>
      </rPr>
      <t>天的收益率排序，每个月计算个股的平均排名，计算个股</t>
    </r>
    <r>
      <rPr>
        <sz val="10.5"/>
        <color theme="1"/>
        <rFont val="Calibri"/>
        <family val="2"/>
      </rPr>
      <t>12</t>
    </r>
    <r>
      <rPr>
        <sz val="10.5"/>
        <color theme="1"/>
        <rFont val="宋体"/>
        <family val="3"/>
        <charset val="134"/>
      </rPr>
      <t>个月内的平均排名。</t>
    </r>
    <r>
      <rPr>
        <sz val="10.5"/>
        <color theme="1"/>
        <rFont val="Calibri"/>
        <family val="2"/>
      </rPr>
      <t>Sign</t>
    </r>
    <r>
      <rPr>
        <sz val="10.5"/>
        <color theme="1"/>
        <rFont val="宋体"/>
        <family val="3"/>
        <charset val="134"/>
      </rPr>
      <t>为个股涨跌计数（上涨计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，下跌计</t>
    </r>
    <r>
      <rPr>
        <sz val="10.5"/>
        <color theme="1"/>
        <rFont val="Calibri"/>
        <family val="2"/>
      </rPr>
      <t>0)</t>
    </r>
    <r>
      <rPr>
        <sz val="10.5"/>
        <color theme="1"/>
        <rFont val="宋体"/>
        <family val="3"/>
        <charset val="134"/>
      </rPr>
      <t>，计算个股</t>
    </r>
    <r>
      <rPr>
        <sz val="10.5"/>
        <color theme="1"/>
        <rFont val="Calibri"/>
        <family val="2"/>
      </rPr>
      <t>6</t>
    </r>
    <r>
      <rPr>
        <sz val="10.5"/>
        <color theme="1"/>
        <rFont val="宋体"/>
        <family val="3"/>
        <charset val="134"/>
      </rPr>
      <t>个月内上涨天数的排序。</t>
    </r>
    <r>
      <rPr>
        <sz val="10.5"/>
        <color theme="1"/>
        <rFont val="Calibri"/>
        <family val="2"/>
      </rPr>
      <t xml:space="preserve">Drmom = </t>
    </r>
    <r>
      <rPr>
        <sz val="10.5"/>
        <color theme="1"/>
        <rFont val="宋体"/>
        <family val="3"/>
        <charset val="134"/>
      </rPr>
      <t>两个排序相加剔除最近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个月，实际为</t>
    </r>
    <r>
      <rPr>
        <sz val="10.5"/>
        <color theme="1"/>
        <rFont val="Calibri"/>
        <family val="2"/>
      </rPr>
      <t>5</t>
    </r>
    <r>
      <rPr>
        <sz val="10.5"/>
        <color theme="1"/>
        <rFont val="宋体"/>
        <family val="3"/>
        <charset val="134"/>
      </rPr>
      <t>个月</t>
    </r>
    <phoneticPr fontId="9" type="noConversion"/>
  </si>
  <si>
    <r>
      <t>y(R_id)</t>
    </r>
    <r>
      <rPr>
        <sz val="10.5"/>
        <color theme="1"/>
        <rFont val="宋体"/>
        <family val="3"/>
        <charset val="134"/>
      </rPr>
      <t>表示股票</t>
    </r>
    <r>
      <rPr>
        <sz val="10.5"/>
        <color theme="1"/>
        <rFont val="Calibri"/>
        <family val="2"/>
      </rPr>
      <t>d</t>
    </r>
    <r>
      <rPr>
        <sz val="10.5"/>
        <color theme="1"/>
        <rFont val="宋体"/>
        <family val="3"/>
        <charset val="134"/>
      </rPr>
      <t>在第</t>
    </r>
    <r>
      <rPr>
        <sz val="10.5"/>
        <color theme="1"/>
        <rFont val="Calibri"/>
        <family val="2"/>
      </rPr>
      <t>i</t>
    </r>
    <r>
      <rPr>
        <sz val="10.5"/>
        <color theme="1"/>
        <rFont val="宋体"/>
        <family val="3"/>
        <charset val="134"/>
      </rPr>
      <t>天的收益率排序，每个月计算个股的平均排名，计算个股</t>
    </r>
    <r>
      <rPr>
        <sz val="10.5"/>
        <color theme="1"/>
        <rFont val="Calibri"/>
        <family val="2"/>
      </rPr>
      <t>12</t>
    </r>
    <r>
      <rPr>
        <sz val="10.5"/>
        <color theme="1"/>
        <rFont val="宋体"/>
        <family val="3"/>
        <charset val="134"/>
      </rPr>
      <t>个月内的平均排名。</t>
    </r>
    <r>
      <rPr>
        <sz val="10.5"/>
        <color theme="1"/>
        <rFont val="Calibri"/>
        <family val="2"/>
      </rPr>
      <t>Sign</t>
    </r>
    <r>
      <rPr>
        <sz val="10.5"/>
        <color theme="1"/>
        <rFont val="宋体"/>
        <family val="3"/>
        <charset val="134"/>
      </rPr>
      <t>为个股涨跌计数（上涨计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，下跌计</t>
    </r>
    <r>
      <rPr>
        <sz val="10.5"/>
        <color theme="1"/>
        <rFont val="Calibri"/>
        <family val="2"/>
      </rPr>
      <t>0)</t>
    </r>
    <r>
      <rPr>
        <sz val="10.5"/>
        <color theme="1"/>
        <rFont val="宋体"/>
        <family val="3"/>
        <charset val="134"/>
      </rPr>
      <t>，计算个股</t>
    </r>
    <r>
      <rPr>
        <sz val="10.5"/>
        <color theme="1"/>
        <rFont val="Calibri"/>
        <family val="2"/>
      </rPr>
      <t>9</t>
    </r>
    <r>
      <rPr>
        <sz val="10.5"/>
        <color theme="1"/>
        <rFont val="宋体"/>
        <family val="3"/>
        <charset val="134"/>
      </rPr>
      <t>个月内上涨天数的排序。</t>
    </r>
    <r>
      <rPr>
        <sz val="10.5"/>
        <color theme="1"/>
        <rFont val="Calibri"/>
        <family val="2"/>
      </rPr>
      <t xml:space="preserve">Drmom = </t>
    </r>
    <r>
      <rPr>
        <sz val="10.5"/>
        <color theme="1"/>
        <rFont val="宋体"/>
        <family val="3"/>
        <charset val="134"/>
      </rPr>
      <t>两个排序相加，剔除最近</t>
    </r>
    <r>
      <rPr>
        <sz val="10.5"/>
        <color theme="1"/>
        <rFont val="Calibri"/>
        <family val="2"/>
      </rPr>
      <t>1</t>
    </r>
    <r>
      <rPr>
        <sz val="10.5"/>
        <color theme="1"/>
        <rFont val="宋体"/>
        <family val="3"/>
        <charset val="134"/>
      </rPr>
      <t>个月，实际为</t>
    </r>
    <r>
      <rPr>
        <sz val="10.5"/>
        <color theme="1"/>
        <rFont val="Calibri"/>
        <family val="2"/>
      </rPr>
      <t>8</t>
    </r>
    <r>
      <rPr>
        <sz val="10.5"/>
        <color theme="1"/>
        <rFont val="宋体"/>
        <family val="3"/>
        <charset val="134"/>
      </rPr>
      <t>个月</t>
    </r>
    <phoneticPr fontId="9" type="noConversion"/>
  </si>
  <si>
    <t>drmom9m</t>
    <phoneticPr fontId="9" type="noConversion"/>
  </si>
  <si>
    <t>demom9</t>
    <phoneticPr fontId="9" type="noConversion"/>
  </si>
  <si>
    <t>真实收益率的收益率更高，IR更高</t>
    <phoneticPr fontId="5" type="noConversion"/>
  </si>
  <si>
    <t>drmom9m，采用收益率和正收益率胜率双排序</t>
    <phoneticPr fontId="5" type="noConversion"/>
  </si>
  <si>
    <t>drmom7m，采用收益率和正收益率胜率双排序</t>
    <phoneticPr fontId="5" type="noConversion"/>
  </si>
  <si>
    <t>价格</t>
    <phoneticPr fontId="5" type="noConversion"/>
  </si>
  <si>
    <t>价格</t>
    <phoneticPr fontId="5" type="noConversion"/>
  </si>
  <si>
    <t>使用每笔成交金额金额分割，构建因子。IC稍有下降，但IR大幅提高。从2.51变为4.5。</t>
    <phoneticPr fontId="5" type="noConversion"/>
  </si>
  <si>
    <t>隔日动量，根据高开/低开，计算当日收益</t>
    <phoneticPr fontId="5" type="noConversion"/>
  </si>
  <si>
    <t>隔日动量</t>
    <phoneticPr fontId="5" type="noConversion"/>
  </si>
  <si>
    <t>自由流通股本换手率</t>
    <phoneticPr fontId="9" type="noConversion"/>
  </si>
  <si>
    <t>自由流通股本换手率</t>
    <phoneticPr fontId="5" type="noConversion"/>
  </si>
  <si>
    <t>非流动性因子</t>
    <phoneticPr fontId="5" type="noConversion"/>
  </si>
  <si>
    <t>0.35 · STOM + 0.35 · STOQ + 0.30 · STOA</t>
    <phoneticPr fontId="5" type="noConversion"/>
  </si>
  <si>
    <t>最近3个月收益率最高3天的均值</t>
    <phoneticPr fontId="5" type="noConversion"/>
  </si>
  <si>
    <t>最近6个月收益率最高6天的均值</t>
    <phoneticPr fontId="5" type="noConversion"/>
  </si>
  <si>
    <t>风险模型动量</t>
    <phoneticPr fontId="5" type="noConversion"/>
  </si>
  <si>
    <t>结合财务数据和价格变化</t>
    <phoneticPr fontId="5" type="noConversion"/>
  </si>
  <si>
    <t>价值</t>
  </si>
  <si>
    <t>根据最近20天的b2p相关性，增加相关性高部分的分数，降低相关性低的分数。换手率大幅提高</t>
    <phoneticPr fontId="5" type="noConversion"/>
  </si>
  <si>
    <t>使用预告和快报的数据表现更好</t>
    <phoneticPr fontId="5" type="noConversion"/>
  </si>
  <si>
    <t>同比增长率</t>
    <phoneticPr fontId="9" type="noConversion"/>
  </si>
  <si>
    <t>环比增长率</t>
    <phoneticPr fontId="9" type="noConversion"/>
  </si>
  <si>
    <t>同比变化占比</t>
    <phoneticPr fontId="9" type="noConversion"/>
  </si>
  <si>
    <t>同比变化占比</t>
    <phoneticPr fontId="9" type="noConversion"/>
  </si>
  <si>
    <t>同比增长率</t>
    <phoneticPr fontId="9" type="noConversion"/>
  </si>
  <si>
    <r>
      <t>Delta(X)/Y</t>
    </r>
    <r>
      <rPr>
        <sz val="10.5"/>
        <color theme="1"/>
        <rFont val="宋体"/>
        <family val="3"/>
        <charset val="134"/>
      </rPr>
      <t>：</t>
    </r>
    <r>
      <rPr>
        <sz val="10.5"/>
        <color theme="1"/>
        <rFont val="Calibri"/>
        <family val="2"/>
      </rPr>
      <t>Delta(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))/</t>
    </r>
    <r>
      <rPr>
        <sz val="10.5"/>
        <color theme="1"/>
        <rFont val="宋体"/>
        <family val="3"/>
        <charset val="134"/>
      </rPr>
      <t>季度化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支付给职工以及为职工支付的现金</t>
    </r>
    <r>
      <rPr>
        <sz val="10.5"/>
        <color theme="1"/>
        <rFont val="Calibri"/>
        <family val="2"/>
      </rPr>
      <t>)</t>
    </r>
    <r>
      <rPr>
        <sz val="10.5"/>
        <color theme="1"/>
        <rFont val="宋体"/>
        <family val="3"/>
        <charset val="134"/>
      </rPr>
      <t>。</t>
    </r>
    <r>
      <rPr>
        <sz val="10.5"/>
        <color theme="1"/>
        <rFont val="Calibri"/>
        <family val="2"/>
      </rPr>
      <t>oper_profit_qXXXcash_pay_beh_empl_q</t>
    </r>
    <phoneticPr fontId="9" type="noConversion"/>
  </si>
  <si>
    <t>oper_profit,cash_pay_beh_empl_q</t>
    <phoneticPr fontId="9" type="noConversion"/>
  </si>
  <si>
    <t>Q</t>
    <phoneticPr fontId="9" type="noConversion"/>
  </si>
  <si>
    <t>同比变化</t>
    <phoneticPr fontId="9" type="noConversion"/>
  </si>
  <si>
    <t>财报事件</t>
    <phoneticPr fontId="9" type="noConversion"/>
  </si>
  <si>
    <t>RAW</t>
    <phoneticPr fontId="9" type="noConversion"/>
  </si>
  <si>
    <t>NA</t>
    <phoneticPr fontId="9" type="noConversion"/>
  </si>
  <si>
    <r>
      <rPr>
        <sz val="10.5"/>
        <color theme="1"/>
        <rFont val="宋体"/>
        <family val="3"/>
        <charset val="134"/>
      </rPr>
      <t>每股季度扣非净利润同比变化占每股总资产比例</t>
    </r>
    <r>
      <rPr>
        <sz val="10.5"/>
        <color theme="1"/>
        <rFont val="Calibri"/>
        <family val="2"/>
      </rPr>
      <t xml:space="preserve"> ,</t>
    </r>
    <r>
      <rPr>
        <sz val="10.5"/>
        <color theme="1"/>
        <rFont val="宋体"/>
        <family val="3"/>
        <charset val="134"/>
      </rPr>
      <t>（每股季度扣非净利润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去年同期每股季度扣非净利润）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每股总资产</t>
    </r>
    <phoneticPr fontId="9" type="noConversion"/>
  </si>
  <si>
    <t>同比变化</t>
    <phoneticPr fontId="9" type="noConversion"/>
  </si>
  <si>
    <t>同比变化</t>
    <phoneticPr fontId="9" type="noConversion"/>
  </si>
  <si>
    <t>比值</t>
    <phoneticPr fontId="9" type="noConversion"/>
  </si>
  <si>
    <t>比值</t>
    <phoneticPr fontId="9" type="noConversion"/>
  </si>
  <si>
    <t>比值</t>
    <phoneticPr fontId="9" type="noConversion"/>
  </si>
  <si>
    <t>比值</t>
    <phoneticPr fontId="9" type="noConversion"/>
  </si>
  <si>
    <t>同比变化</t>
    <phoneticPr fontId="9" type="noConversion"/>
  </si>
  <si>
    <t>增长率对比</t>
    <phoneticPr fontId="9" type="noConversion"/>
  </si>
  <si>
    <t>超预期</t>
    <phoneticPr fontId="9" type="noConversion"/>
  </si>
  <si>
    <t>计算方法</t>
    <phoneticPr fontId="9" type="noConversion"/>
  </si>
  <si>
    <t>统计指标</t>
    <phoneticPr fontId="9" type="noConversion"/>
  </si>
  <si>
    <t>成长</t>
    <phoneticPr fontId="5" type="noConversion"/>
  </si>
  <si>
    <t>da2a</t>
    <phoneticPr fontId="9" type="noConversion"/>
  </si>
  <si>
    <t>ne2e_q</t>
    <phoneticPr fontId="9" type="noConversion"/>
  </si>
  <si>
    <t>不变</t>
    <phoneticPr fontId="5" type="noConversion"/>
  </si>
  <si>
    <t>增加预告数据</t>
    <phoneticPr fontId="5" type="noConversion"/>
  </si>
  <si>
    <t>超预期类</t>
    <phoneticPr fontId="5" type="noConversion"/>
  </si>
  <si>
    <t>比值</t>
    <phoneticPr fontId="5" type="noConversion"/>
  </si>
  <si>
    <t>增加快报和预告数据</t>
    <phoneticPr fontId="5" type="noConversion"/>
  </si>
  <si>
    <t>优化</t>
    <phoneticPr fontId="5" type="noConversion"/>
  </si>
  <si>
    <t>rqnp_rqcpbe</t>
    <phoneticPr fontId="9" type="noConversion"/>
  </si>
  <si>
    <t>con_peg_roll</t>
    <phoneticPr fontId="9" type="noConversion"/>
  </si>
  <si>
    <t>同一机构不同日期算多次</t>
    <phoneticPr fontId="5" type="noConversion"/>
  </si>
  <si>
    <t>替代darecs</t>
    <phoneticPr fontId="5" type="noConversion"/>
  </si>
  <si>
    <t>替代recud和recud_l</t>
    <phoneticPr fontId="5" type="noConversion"/>
  </si>
  <si>
    <t>替代recud_s</t>
    <phoneticPr fontId="5" type="noConversion"/>
  </si>
  <si>
    <t>替代darev_l</t>
    <phoneticPr fontId="5" type="noConversion"/>
  </si>
  <si>
    <t>替代darev_s</t>
    <phoneticPr fontId="5" type="noConversion"/>
  </si>
  <si>
    <t>替代darev</t>
    <phoneticPr fontId="5" type="noConversion"/>
  </si>
  <si>
    <t>替代revud</t>
    <phoneticPr fontId="5" type="noConversion"/>
  </si>
  <si>
    <t>替代revuds_l</t>
    <phoneticPr fontId="5" type="noConversion"/>
  </si>
  <si>
    <t>替代revuds_s</t>
    <phoneticPr fontId="5" type="noConversion"/>
  </si>
  <si>
    <t>替代revuds</t>
    <phoneticPr fontId="5" type="noConversion"/>
  </si>
  <si>
    <t>原先darec和darec_l相关性高，用此因子替代。对不同回看期和半衰期的数据进行枚举，根据长、中、短回看期和彼此之间的相关系数，选择因子</t>
    <phoneticPr fontId="5" type="noConversion"/>
  </si>
  <si>
    <t>abacc</t>
  </si>
  <si>
    <t>abaccall</t>
  </si>
  <si>
    <t>acc1</t>
  </si>
  <si>
    <t>acca</t>
  </si>
  <si>
    <t>bab</t>
  </si>
  <si>
    <t>cd2d</t>
  </si>
  <si>
    <t>cfovol2a</t>
  </si>
  <si>
    <t>dcfoa</t>
  </si>
  <si>
    <t>depad</t>
  </si>
  <si>
    <t>dgmar</t>
  </si>
  <si>
    <t>dgpoa</t>
  </si>
  <si>
    <t>dirn</t>
  </si>
  <si>
    <t>droa</t>
  </si>
  <si>
    <t>droe</t>
  </si>
  <si>
    <t>dygpoa</t>
  </si>
  <si>
    <t>e2c_q</t>
  </si>
  <si>
    <t>evol</t>
  </si>
  <si>
    <t>evol2a</t>
  </si>
  <si>
    <t>fcf</t>
  </si>
  <si>
    <t>ffsp</t>
  </si>
  <si>
    <t>fhp</t>
  </si>
  <si>
    <t>gmar</t>
  </si>
  <si>
    <t>gpm_q</t>
  </si>
  <si>
    <t>gpoa</t>
  </si>
  <si>
    <t>intcov</t>
  </si>
  <si>
    <t>knp2np_q</t>
  </si>
  <si>
    <t>lev</t>
  </si>
  <si>
    <t>mginc3</t>
  </si>
  <si>
    <t>mgincome</t>
  </si>
  <si>
    <t>mgshr</t>
  </si>
  <si>
    <t>o</t>
  </si>
  <si>
    <t>ocf2sale_q</t>
  </si>
  <si>
    <t>ocf2ta</t>
  </si>
  <si>
    <t>op2tp_q</t>
  </si>
  <si>
    <t>pio</t>
  </si>
  <si>
    <t>roa</t>
  </si>
  <si>
    <t>roa_q</t>
  </si>
  <si>
    <t>roe</t>
  </si>
  <si>
    <t>roe_q</t>
  </si>
  <si>
    <t>roic</t>
  </si>
  <si>
    <t>shn</t>
  </si>
  <si>
    <t>sthp</t>
  </si>
  <si>
    <t>sugm</t>
  </si>
  <si>
    <t>svol2a</t>
  </si>
  <si>
    <t>z</t>
  </si>
  <si>
    <t>kroa</t>
  </si>
  <si>
    <t>kroa</t>
    <phoneticPr fontId="9" type="noConversion"/>
  </si>
  <si>
    <t>kroe</t>
  </si>
  <si>
    <t>kroe</t>
    <phoneticPr fontId="9" type="noConversion"/>
  </si>
  <si>
    <t>tot_assets,net_cash_flows_oper_act,oper_profit,oper_rev,fix_assets</t>
    <phoneticPr fontId="9" type="noConversion"/>
  </si>
  <si>
    <t>raw,ttm</t>
    <phoneticPr fontId="9" type="noConversion"/>
  </si>
  <si>
    <r>
      <rPr>
        <sz val="10.5"/>
        <color theme="1"/>
        <rFont val="宋体"/>
        <family val="3"/>
        <charset val="134"/>
      </rPr>
      <t>应计利润</t>
    </r>
    <r>
      <rPr>
        <sz val="10.5"/>
        <color theme="1"/>
        <rFont val="Calibri"/>
        <family val="2"/>
      </rPr>
      <t>~1/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年营业收入变化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固定资产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 xml:space="preserve">  </t>
    </r>
    <r>
      <rPr>
        <sz val="10.5"/>
        <color theme="1"/>
        <rFont val="宋体"/>
        <family val="3"/>
        <charset val="134"/>
      </rPr>
      <t>回归残差为该因子（没有剔除营业利润为负个股）</t>
    </r>
    <phoneticPr fontId="9" type="noConversion"/>
  </si>
  <si>
    <t>tot_assets,oper_profit,net_cash_flows_oper_act</t>
    <phoneticPr fontId="9" type="noConversion"/>
  </si>
  <si>
    <r>
      <t>TTM</t>
    </r>
    <r>
      <rPr>
        <sz val="10.5"/>
        <color theme="1"/>
        <rFont val="宋体"/>
        <family val="3"/>
        <charset val="134"/>
      </rPr>
      <t>（营业利润）</t>
    </r>
    <r>
      <rPr>
        <sz val="10.5"/>
        <color theme="1"/>
        <rFont val="Calibri"/>
        <family val="2"/>
      </rPr>
      <t>-TTM</t>
    </r>
    <r>
      <rPr>
        <sz val="10.5"/>
        <color theme="1"/>
        <rFont val="宋体"/>
        <family val="3"/>
        <charset val="134"/>
      </rPr>
      <t>（经营性现金流）</t>
    </r>
    <r>
      <rPr>
        <sz val="10.5"/>
        <color theme="1"/>
        <rFont val="Calibri"/>
        <family val="2"/>
      </rPr>
      <t>/YMean</t>
    </r>
    <r>
      <rPr>
        <sz val="10.5"/>
        <color theme="1"/>
        <rFont val="宋体"/>
        <family val="3"/>
        <charset val="134"/>
      </rPr>
      <t>（总资产）</t>
    </r>
    <phoneticPr fontId="9" type="noConversion"/>
  </si>
  <si>
    <t>net_cash_flows_oper_act,net_profit_incl_min_int_inc,tot_assets</t>
    <phoneticPr fontId="9" type="noConversion"/>
  </si>
  <si>
    <t>tot_cur_liab,tot_liab</t>
    <phoneticPr fontId="9" type="noConversion"/>
  </si>
  <si>
    <r>
      <rPr>
        <sz val="10.5"/>
        <color theme="1"/>
        <rFont val="宋体"/>
        <family val="3"/>
        <charset val="134"/>
      </rPr>
      <t>流动负债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总负债</t>
    </r>
    <phoneticPr fontId="9" type="noConversion"/>
  </si>
  <si>
    <t>cd2d</t>
    <phoneticPr fontId="9" type="noConversion"/>
  </si>
  <si>
    <t>cr</t>
  </si>
  <si>
    <t>crd</t>
  </si>
  <si>
    <t>cur</t>
  </si>
  <si>
    <t>curd</t>
  </si>
  <si>
    <t>qr</t>
  </si>
  <si>
    <t>qrd</t>
  </si>
  <si>
    <t>invt</t>
  </si>
  <si>
    <t>invtd</t>
  </si>
  <si>
    <t>ocfa</t>
  </si>
  <si>
    <t>rat</t>
  </si>
  <si>
    <t>acc1</t>
    <phoneticPr fontId="9" type="noConversion"/>
  </si>
  <si>
    <t>ccr</t>
  </si>
  <si>
    <t>ccrd</t>
  </si>
  <si>
    <t>abacc</t>
    <phoneticPr fontId="9" type="noConversion"/>
  </si>
  <si>
    <t>ratd</t>
  </si>
  <si>
    <t>tat</t>
  </si>
  <si>
    <t>tatd</t>
  </si>
  <si>
    <t>net_cash_flows_oper_act,tot_cur_liab</t>
    <phoneticPr fontId="9" type="noConversion"/>
  </si>
  <si>
    <r>
      <rPr>
        <sz val="10.5"/>
        <color theme="1"/>
        <rFont val="宋体"/>
        <family val="3"/>
        <charset val="134"/>
      </rPr>
      <t>现金流动负债比率</t>
    </r>
    <r>
      <rPr>
        <sz val="10.5"/>
        <color theme="1"/>
        <rFont val="Calibri"/>
        <family val="2"/>
      </rPr>
      <t>=TTM(</t>
    </r>
    <r>
      <rPr>
        <sz val="10.5"/>
        <color theme="1"/>
        <rFont val="宋体"/>
        <family val="3"/>
        <charset val="134"/>
      </rPr>
      <t>经营净现金流</t>
    </r>
    <r>
      <rPr>
        <sz val="10.5"/>
        <color theme="1"/>
        <rFont val="Calibri"/>
        <family val="2"/>
      </rPr>
      <t>)/YMean(</t>
    </r>
    <r>
      <rPr>
        <sz val="10.5"/>
        <color theme="1"/>
        <rFont val="宋体"/>
        <family val="3"/>
        <charset val="134"/>
      </rPr>
      <t>流动负债</t>
    </r>
    <r>
      <rPr>
        <sz val="10.5"/>
        <color theme="1"/>
        <rFont val="Calibri"/>
        <family val="2"/>
      </rPr>
      <t>)</t>
    </r>
    <phoneticPr fontId="9" type="noConversion"/>
  </si>
  <si>
    <t>现金流动负债比率同比变化，ccr - L1Y_ccr</t>
    <phoneticPr fontId="9" type="noConversion"/>
  </si>
  <si>
    <r>
      <rPr>
        <sz val="10.5"/>
        <color theme="1"/>
        <rFont val="等线"/>
        <family val="2"/>
      </rPr>
      <t>同比变化</t>
    </r>
    <phoneticPr fontId="9" type="noConversion"/>
  </si>
  <si>
    <t>ccr</t>
    <phoneticPr fontId="9" type="noConversion"/>
  </si>
  <si>
    <t>ccrd</t>
    <phoneticPr fontId="9" type="noConversion"/>
  </si>
  <si>
    <t>raw</t>
    <phoneticPr fontId="9" type="noConversion"/>
  </si>
  <si>
    <t>monetary_cap,tradable_fin_assets,tot_cur_liab</t>
    <phoneticPr fontId="9" type="noConversion"/>
  </si>
  <si>
    <r>
      <rPr>
        <sz val="10.5"/>
        <color theme="1"/>
        <rFont val="宋体"/>
        <family val="3"/>
        <charset val="134"/>
      </rPr>
      <t>现金比率同比变化</t>
    </r>
    <r>
      <rPr>
        <sz val="10.5"/>
        <color theme="1"/>
        <rFont val="Calibri"/>
        <family val="2"/>
      </rPr>
      <t xml:space="preserve">, </t>
    </r>
    <r>
      <rPr>
        <sz val="10.5"/>
        <color theme="1"/>
        <rFont val="宋体"/>
        <family val="3"/>
        <charset val="134"/>
      </rPr>
      <t>现金比率</t>
    </r>
    <r>
      <rPr>
        <sz val="10.5"/>
        <color theme="1"/>
        <rFont val="Calibri"/>
        <family val="2"/>
      </rPr>
      <t>-L1Y_</t>
    </r>
    <r>
      <rPr>
        <sz val="10.5"/>
        <color theme="1"/>
        <rFont val="宋体"/>
        <family val="3"/>
        <charset val="134"/>
      </rPr>
      <t>现金比率</t>
    </r>
    <phoneticPr fontId="9" type="noConversion"/>
  </si>
  <si>
    <t>cr</t>
    <phoneticPr fontId="9" type="noConversion"/>
  </si>
  <si>
    <t>crd</t>
    <phoneticPr fontId="9" type="noConversion"/>
  </si>
  <si>
    <t>tot_cur_assets,tot_cur_liab</t>
    <phoneticPr fontId="9" type="noConversion"/>
  </si>
  <si>
    <t>adv_from_cust,tot_assets</t>
    <phoneticPr fontId="9" type="noConversion"/>
  </si>
  <si>
    <r>
      <rPr>
        <sz val="10.5"/>
        <color theme="1"/>
        <rFont val="宋体"/>
        <family val="3"/>
        <charset val="134"/>
      </rPr>
      <t>预收款项同比变化占总资产比，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预收款项</t>
    </r>
    <r>
      <rPr>
        <sz val="10.5"/>
        <color theme="1"/>
        <rFont val="Calibri"/>
        <family val="2"/>
      </rPr>
      <t>-L1Y_</t>
    </r>
    <r>
      <rPr>
        <sz val="10.5"/>
        <color theme="1"/>
        <rFont val="宋体"/>
        <family val="3"/>
        <charset val="134"/>
      </rPr>
      <t>预收款项</t>
    </r>
    <r>
      <rPr>
        <sz val="10.5"/>
        <color theme="1"/>
        <rFont val="Calibri"/>
        <family val="2"/>
      </rPr>
      <t>)/YMean(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)</t>
    </r>
    <phoneticPr fontId="9" type="noConversion"/>
  </si>
  <si>
    <t>net_cash_flows_oper_act,cash_pay_acq_const_fiolta,net_cash_pay_aquis_sobu,net_cash_recp_disp_fiolta,net_cash_recp_disp_sobu,tot_assets</t>
    <phoneticPr fontId="9" type="noConversion"/>
  </si>
  <si>
    <t>net_cash_flows_oper_act,oper_rev</t>
    <phoneticPr fontId="9" type="noConversion"/>
  </si>
  <si>
    <r>
      <t>Q(</t>
    </r>
    <r>
      <rPr>
        <sz val="10.5"/>
        <color theme="1"/>
        <rFont val="宋体"/>
        <family val="3"/>
        <charset val="134"/>
      </rPr>
      <t>经营性净现金流</t>
    </r>
    <r>
      <rPr>
        <sz val="10.5"/>
        <color theme="1"/>
        <rFont val="Calibri"/>
        <family val="2"/>
      </rPr>
      <t>)/Q(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)</t>
    </r>
    <phoneticPr fontId="9" type="noConversion"/>
  </si>
  <si>
    <t>Q</t>
    <phoneticPr fontId="9" type="noConversion"/>
  </si>
  <si>
    <t>tot_asset,intang_assets,goodwill,net_cash_flows_oper_act</t>
    <phoneticPr fontId="9" type="noConversion"/>
  </si>
  <si>
    <r>
      <rPr>
        <sz val="10.5"/>
        <color theme="1"/>
        <rFont val="宋体"/>
        <family val="3"/>
        <charset val="134"/>
      </rPr>
      <t>经营性净现金流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有形资产，有形资产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无形资产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商誉</t>
    </r>
    <phoneticPr fontId="9" type="noConversion"/>
  </si>
  <si>
    <r>
      <t>10</t>
    </r>
    <r>
      <rPr>
        <sz val="10.5"/>
        <color theme="1"/>
        <rFont val="宋体"/>
        <family val="3"/>
        <charset val="134"/>
      </rPr>
      <t>项财务指标综合打分，覆盖利润现金流杠杆</t>
    </r>
    <phoneticPr fontId="9" type="noConversion"/>
  </si>
  <si>
    <t>pio</t>
    <phoneticPr fontId="9" type="noConversion"/>
  </si>
  <si>
    <t>ocf2sale_q</t>
    <phoneticPr fontId="9" type="noConversion"/>
  </si>
  <si>
    <t>tot_cur_assets,inventories,non_cur_assets_due_within_1y,deferred_exp,prepay,tot_cur_liab</t>
    <phoneticPr fontId="9" type="noConversion"/>
  </si>
  <si>
    <r>
      <rPr>
        <sz val="10.5"/>
        <color theme="1"/>
        <rFont val="宋体"/>
        <family val="3"/>
        <charset val="134"/>
      </rPr>
      <t>速动比率同比变化。当期速动比率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上期速动比率，速动比率</t>
    </r>
    <r>
      <rPr>
        <sz val="10.5"/>
        <color theme="1"/>
        <rFont val="Calibri"/>
        <family val="2"/>
      </rPr>
      <t>=(</t>
    </r>
    <r>
      <rPr>
        <sz val="10.5"/>
        <color theme="1"/>
        <rFont val="宋体"/>
        <family val="3"/>
        <charset val="134"/>
      </rPr>
      <t>流动资产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存货</t>
    </r>
    <r>
      <rPr>
        <sz val="10.5"/>
        <color theme="1"/>
        <rFont val="Calibri"/>
        <family val="2"/>
      </rPr>
      <t>-1</t>
    </r>
    <r>
      <rPr>
        <sz val="10.5"/>
        <color theme="1"/>
        <rFont val="宋体"/>
        <family val="3"/>
        <charset val="134"/>
      </rPr>
      <t>年内到期的非流动资产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待摊费用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预付款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流动负债</t>
    </r>
    <phoneticPr fontId="9" type="noConversion"/>
  </si>
  <si>
    <t>qr</t>
    <phoneticPr fontId="9" type="noConversion"/>
  </si>
  <si>
    <t>qrd</t>
    <phoneticPr fontId="9" type="noConversion"/>
  </si>
  <si>
    <t>dirn</t>
    <phoneticPr fontId="9" type="noConversion"/>
  </si>
  <si>
    <t>ffsp</t>
    <phoneticPr fontId="9" type="noConversion"/>
  </si>
  <si>
    <t>fhp</t>
    <phoneticPr fontId="9" type="noConversion"/>
  </si>
  <si>
    <t>invtd</t>
    <phoneticPr fontId="9" type="noConversion"/>
  </si>
  <si>
    <t>less_oper_cost,inventories</t>
    <phoneticPr fontId="9" type="noConversion"/>
  </si>
  <si>
    <t>mginc3</t>
    <phoneticPr fontId="9" type="noConversion"/>
  </si>
  <si>
    <t>mgshr</t>
    <phoneticPr fontId="9" type="noConversion"/>
  </si>
  <si>
    <t>ocfa</t>
    <phoneticPr fontId="9" type="noConversion"/>
  </si>
  <si>
    <t>raw</t>
    <phoneticPr fontId="9" type="noConversion"/>
  </si>
  <si>
    <t>ratd</t>
    <phoneticPr fontId="9" type="noConversion"/>
  </si>
  <si>
    <t>tot_oper_cost,fix_assets</t>
    <phoneticPr fontId="9" type="noConversion"/>
  </si>
  <si>
    <t>shn</t>
    <phoneticPr fontId="9" type="noConversion"/>
  </si>
  <si>
    <t>sthp</t>
    <phoneticPr fontId="9" type="noConversion"/>
  </si>
  <si>
    <t>tat</t>
    <phoneticPr fontId="9" type="noConversion"/>
  </si>
  <si>
    <t>tatd</t>
    <phoneticPr fontId="9" type="noConversion"/>
  </si>
  <si>
    <t>z</t>
    <phoneticPr fontId="9" type="noConversion"/>
  </si>
  <si>
    <t>oper_rev,acct_rcv,notes_rcv</t>
    <phoneticPr fontId="9" type="noConversion"/>
  </si>
  <si>
    <t>raw,ttm</t>
    <phoneticPr fontId="9" type="noConversion"/>
  </si>
  <si>
    <r>
      <rPr>
        <sz val="10.5"/>
        <color theme="1"/>
        <rFont val="宋体"/>
        <family val="3"/>
        <charset val="134"/>
      </rPr>
      <t>（调整后的经营活动净现金流</t>
    </r>
    <r>
      <rPr>
        <sz val="10.5"/>
        <color theme="1"/>
        <rFont val="Calibri"/>
        <family val="2"/>
      </rPr>
      <t>-5</t>
    </r>
    <r>
      <rPr>
        <sz val="10.5"/>
        <color theme="1"/>
        <rFont val="宋体"/>
        <family val="3"/>
        <charset val="134"/>
      </rPr>
      <t>年前调整后的经营活动净现金流）</t>
    </r>
    <r>
      <rPr>
        <sz val="10.5"/>
        <color theme="1"/>
        <rFont val="Calibri"/>
        <family val="2"/>
      </rPr>
      <t>/YMean(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)</t>
    </r>
    <phoneticPr fontId="9" type="noConversion"/>
  </si>
  <si>
    <t>dcfoa</t>
    <phoneticPr fontId="9" type="noConversion"/>
  </si>
  <si>
    <t>net_cash_flows_oper_act,cash_pay_acq_const_fiolta,net_cash_pay_aquis_sobu,net_cash_recp_disp_fiolta,net_cash_recp_disp_sobu</t>
    <phoneticPr fontId="9" type="noConversion"/>
  </si>
  <si>
    <t>ttm</t>
    <phoneticPr fontId="9" type="noConversion"/>
  </si>
  <si>
    <r>
      <rPr>
        <sz val="10.5"/>
        <color theme="1"/>
        <rFont val="宋体"/>
        <family val="3"/>
        <charset val="134"/>
      </rPr>
      <t>调整后现金净现金流占总资产比例。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经营活动产生的现金流量净额</t>
    </r>
    <r>
      <rPr>
        <sz val="10.5"/>
        <color theme="1"/>
        <rFont val="Calibri"/>
        <family val="2"/>
      </rPr>
      <t>—</t>
    </r>
    <r>
      <rPr>
        <sz val="10.5"/>
        <color theme="1"/>
        <rFont val="宋体"/>
        <family val="3"/>
        <charset val="134"/>
      </rPr>
      <t>（购置固定资产无形资产和其他长期资产支付的现金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取得子公司及其他营业单位支付的现金净额</t>
    </r>
    <r>
      <rPr>
        <sz val="10.5"/>
        <color theme="1"/>
        <rFont val="Calibri"/>
        <family val="2"/>
      </rPr>
      <t>—</t>
    </r>
    <r>
      <rPr>
        <sz val="10.5"/>
        <color theme="1"/>
        <rFont val="宋体"/>
        <family val="3"/>
        <charset val="134"/>
      </rPr>
      <t>处置固定资产无形资产和其他长期资产收回的现金净额</t>
    </r>
    <r>
      <rPr>
        <sz val="10.5"/>
        <color theme="1"/>
        <rFont val="Calibri"/>
        <family val="2"/>
      </rPr>
      <t>—</t>
    </r>
    <r>
      <rPr>
        <sz val="10.5"/>
        <color theme="1"/>
        <rFont val="宋体"/>
        <family val="3"/>
        <charset val="134"/>
      </rPr>
      <t>处置子公司及其他营业单位收到的现金净额）</t>
    </r>
    <r>
      <rPr>
        <sz val="10.5"/>
        <color theme="1"/>
        <rFont val="Calibri"/>
        <family val="2"/>
      </rPr>
      <t>)/YMean(</t>
    </r>
    <r>
      <rPr>
        <sz val="10.5"/>
        <color theme="1"/>
        <rFont val="宋体"/>
        <family val="3"/>
        <charset val="134"/>
      </rPr>
      <t>总资产）</t>
    </r>
    <phoneticPr fontId="9" type="noConversion"/>
  </si>
  <si>
    <t>oper_rev,tot_assets</t>
    <phoneticPr fontId="9" type="noConversion"/>
  </si>
  <si>
    <t>dgmar</t>
    <phoneticPr fontId="9" type="noConversion"/>
  </si>
  <si>
    <t>dgpoa</t>
    <phoneticPr fontId="9" type="noConversion"/>
  </si>
  <si>
    <t>droa</t>
    <phoneticPr fontId="9" type="noConversion"/>
  </si>
  <si>
    <t>droe</t>
    <phoneticPr fontId="9" type="noConversion"/>
  </si>
  <si>
    <t>tot_oper_rev,less_oper_cost,tot_assets</t>
    <phoneticPr fontId="9" type="noConversion"/>
  </si>
  <si>
    <r>
      <rPr>
        <sz val="10.5"/>
        <color theme="1"/>
        <rFont val="宋体"/>
        <family val="3"/>
        <charset val="134"/>
      </rPr>
      <t>扣非</t>
    </r>
    <r>
      <rPr>
        <sz val="10.5"/>
        <color theme="1"/>
        <rFont val="Calibri"/>
        <family val="2"/>
      </rPr>
      <t>roe=(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其他经营收益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平均净资产</t>
    </r>
    <phoneticPr fontId="9" type="noConversion"/>
  </si>
  <si>
    <t>tot_shrhldr_eqy_excl_min_int,net_profit_excl_min_int_inc</t>
    <phoneticPr fontId="9" type="noConversion"/>
  </si>
  <si>
    <t>oper_profit,less_fin_exp,tot_assets</t>
    <phoneticPr fontId="9" type="noConversion"/>
  </si>
  <si>
    <r>
      <rPr>
        <sz val="10.5"/>
        <color theme="1"/>
        <rFont val="宋体"/>
        <family val="3"/>
        <charset val="134"/>
      </rPr>
      <t>毛利率同比变化。总资产毛利率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去年同期总资产毛利率。总资产毛利率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（营业总收入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营业成本）</t>
    </r>
    <r>
      <rPr>
        <sz val="10.5"/>
        <color theme="1"/>
        <rFont val="Calibri"/>
        <family val="2"/>
      </rPr>
      <t>/YMean</t>
    </r>
    <r>
      <rPr>
        <sz val="10.5"/>
        <color theme="1"/>
        <rFont val="宋体"/>
        <family val="3"/>
        <charset val="134"/>
      </rPr>
      <t>（总资产）</t>
    </r>
    <phoneticPr fontId="9" type="noConversion"/>
  </si>
  <si>
    <t>less_oper_cost,less_selling_dist_exp,less_gerl_admin_exp,less_fin_exp,net_profit_excl_min_int_inc</t>
    <phoneticPr fontId="9" type="noConversion"/>
  </si>
  <si>
    <t>q</t>
    <phoneticPr fontId="9" type="noConversion"/>
  </si>
  <si>
    <t>e2c_q</t>
    <phoneticPr fontId="9" type="noConversion"/>
  </si>
  <si>
    <t>gmar</t>
    <phoneticPr fontId="9" type="noConversion"/>
  </si>
  <si>
    <r>
      <t>TTM(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)/YMean(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)</t>
    </r>
    <phoneticPr fontId="9" type="noConversion"/>
  </si>
  <si>
    <t>oper_rev,tot_oper_rev,less_oper_cost</t>
    <phoneticPr fontId="9" type="noConversion"/>
  </si>
  <si>
    <t>tot_oper_rev,less_oper_cost</t>
    <phoneticPr fontId="9" type="noConversion"/>
  </si>
  <si>
    <t>q</t>
    <phoneticPr fontId="9" type="noConversion"/>
  </si>
  <si>
    <t>gpoa</t>
    <phoneticPr fontId="9" type="noConversion"/>
  </si>
  <si>
    <r>
      <t>(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)/YMean(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)</t>
    </r>
    <phoneticPr fontId="9" type="noConversion"/>
  </si>
  <si>
    <r>
      <t>TTM</t>
    </r>
    <r>
      <rPr>
        <sz val="10.5"/>
        <color theme="1"/>
        <rFont val="宋体"/>
        <family val="3"/>
        <charset val="134"/>
      </rPr>
      <t>（财务费用）</t>
    </r>
    <r>
      <rPr>
        <sz val="10.5"/>
        <color theme="1"/>
        <rFont val="Calibri"/>
        <family val="2"/>
      </rPr>
      <t>/TTM</t>
    </r>
    <r>
      <rPr>
        <sz val="10.5"/>
        <color theme="1"/>
        <rFont val="宋体"/>
        <family val="3"/>
        <charset val="134"/>
      </rPr>
      <t>（</t>
    </r>
    <r>
      <rPr>
        <sz val="10.5"/>
        <color theme="1"/>
        <rFont val="Calibri"/>
        <family val="2"/>
      </rPr>
      <t>EBIT</t>
    </r>
    <r>
      <rPr>
        <sz val="10.5"/>
        <color theme="1"/>
        <rFont val="宋体"/>
        <family val="3"/>
        <charset val="134"/>
      </rPr>
      <t>），</t>
    </r>
    <r>
      <rPr>
        <sz val="10.5"/>
        <color theme="1"/>
        <rFont val="Calibri"/>
        <family val="2"/>
      </rPr>
      <t>EBIT=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财务费用。</t>
    </r>
    <phoneticPr fontId="9" type="noConversion"/>
  </si>
  <si>
    <t>less_fin_exp,oper_profit</t>
    <phoneticPr fontId="9" type="noConversion"/>
  </si>
  <si>
    <t>S_QFA_DEDUCTEDPROFITTOPROFIT</t>
    <phoneticPr fontId="9" type="noConversion"/>
  </si>
  <si>
    <t>Q</t>
    <phoneticPr fontId="9" type="noConversion"/>
  </si>
  <si>
    <t>tot_oper_rev,tot_oper_cost,less_fin_exp</t>
    <phoneticPr fontId="9" type="noConversion"/>
  </si>
  <si>
    <t>S_QFA_OPERATEINCOMETOEBT</t>
    <phoneticPr fontId="9" type="noConversion"/>
  </si>
  <si>
    <t>ttm,raw</t>
    <phoneticPr fontId="9" type="noConversion"/>
  </si>
  <si>
    <t>q,raw</t>
    <phoneticPr fontId="9" type="noConversion"/>
  </si>
  <si>
    <r>
      <rPr>
        <sz val="10.5"/>
        <color theme="1"/>
        <rFont val="宋体"/>
        <family val="3"/>
        <charset val="134"/>
      </rPr>
      <t>季度（营业利润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财务费用）</t>
    </r>
    <r>
      <rPr>
        <sz val="10.5"/>
        <color theme="1"/>
        <rFont val="Calibri"/>
        <family val="2"/>
      </rPr>
      <t>/QMean(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)</t>
    </r>
    <phoneticPr fontId="9" type="noConversion"/>
  </si>
  <si>
    <r>
      <t>TTM</t>
    </r>
    <r>
      <rPr>
        <sz val="10.5"/>
        <color theme="1"/>
        <rFont val="宋体"/>
        <family val="3"/>
        <charset val="134"/>
      </rPr>
      <t>（营业利润</t>
    </r>
    <r>
      <rPr>
        <sz val="10.5"/>
        <color theme="1"/>
        <rFont val="Calibri"/>
        <family val="2"/>
      </rPr>
      <t>+</t>
    </r>
    <r>
      <rPr>
        <sz val="10.5"/>
        <color theme="1"/>
        <rFont val="宋体"/>
        <family val="3"/>
        <charset val="134"/>
      </rPr>
      <t>财务费用）</t>
    </r>
    <r>
      <rPr>
        <sz val="10.5"/>
        <color theme="1"/>
        <rFont val="Calibri"/>
        <family val="2"/>
      </rPr>
      <t>/QMean(</t>
    </r>
    <r>
      <rPr>
        <sz val="10.5"/>
        <color theme="1"/>
        <rFont val="宋体"/>
        <family val="3"/>
        <charset val="134"/>
      </rPr>
      <t>总资产</t>
    </r>
    <r>
      <rPr>
        <sz val="10.5"/>
        <color theme="1"/>
        <rFont val="Calibri"/>
        <family val="2"/>
      </rPr>
      <t>)</t>
    </r>
    <phoneticPr fontId="9" type="noConversion"/>
  </si>
  <si>
    <t>roe_q</t>
    <phoneticPr fontId="9" type="noConversion"/>
  </si>
  <si>
    <t>roa</t>
    <phoneticPr fontId="9" type="noConversion"/>
  </si>
  <si>
    <t>op2tp_q</t>
    <phoneticPr fontId="9" type="noConversion"/>
  </si>
  <si>
    <t>kroe</t>
    <phoneticPr fontId="9" type="noConversion"/>
  </si>
  <si>
    <t>kroa</t>
    <phoneticPr fontId="9" type="noConversion"/>
  </si>
  <si>
    <t>roic</t>
    <phoneticPr fontId="9" type="noConversion"/>
  </si>
  <si>
    <t>cfovol2a</t>
    <phoneticPr fontId="9" type="noConversion"/>
  </si>
  <si>
    <t>evo2a</t>
    <phoneticPr fontId="9" type="noConversion"/>
  </si>
  <si>
    <t>svol2a</t>
    <phoneticPr fontId="9" type="noConversion"/>
  </si>
  <si>
    <t>z</t>
    <phoneticPr fontId="9" type="noConversion"/>
  </si>
  <si>
    <t>q,raw</t>
    <phoneticPr fontId="9" type="noConversion"/>
  </si>
  <si>
    <t>S_FA_ROIC</t>
  </si>
  <si>
    <r>
      <rPr>
        <sz val="10.5"/>
        <color theme="1"/>
        <rFont val="宋体"/>
        <family val="3"/>
        <charset val="134"/>
      </rPr>
      <t>毛利率年度同比的</t>
    </r>
    <r>
      <rPr>
        <sz val="10.5"/>
        <color theme="1"/>
        <rFont val="Calibri"/>
        <family val="2"/>
      </rPr>
      <t>16</t>
    </r>
    <r>
      <rPr>
        <sz val="10.5"/>
        <color theme="1"/>
        <rFont val="宋体"/>
        <family val="3"/>
        <charset val="134"/>
      </rPr>
      <t>期</t>
    </r>
    <r>
      <rPr>
        <sz val="10.5"/>
        <color theme="1"/>
        <rFont val="Calibri"/>
        <family val="2"/>
      </rPr>
      <t>zscore</t>
    </r>
    <r>
      <rPr>
        <sz val="10.5"/>
        <color theme="1"/>
        <rFont val="宋体"/>
        <family val="3"/>
        <charset val="134"/>
      </rPr>
      <t>。毛利率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营业利润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营业收入</t>
    </r>
    <r>
      <rPr>
        <sz val="10.5"/>
        <color theme="1"/>
        <rFont val="Calibri"/>
        <family val="2"/>
      </rPr>
      <t>=</t>
    </r>
    <r>
      <rPr>
        <sz val="10.5"/>
        <color theme="1"/>
        <rFont val="宋体"/>
        <family val="3"/>
        <charset val="134"/>
      </rPr>
      <t>（营业收入</t>
    </r>
    <r>
      <rPr>
        <sz val="10.5"/>
        <color theme="1"/>
        <rFont val="Calibri"/>
        <family val="2"/>
      </rPr>
      <t>-</t>
    </r>
    <r>
      <rPr>
        <sz val="10.5"/>
        <color theme="1"/>
        <rFont val="宋体"/>
        <family val="3"/>
        <charset val="134"/>
      </rPr>
      <t>营业成本）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营业收入</t>
    </r>
    <phoneticPr fontId="9" type="noConversion"/>
  </si>
  <si>
    <t>net_cash_flows_oper_act,tot_assets</t>
    <phoneticPr fontId="9" type="noConversion"/>
  </si>
  <si>
    <t>不变</t>
    <phoneticPr fontId="9" type="noConversion"/>
  </si>
  <si>
    <t>新增</t>
    <phoneticPr fontId="9" type="noConversion"/>
  </si>
  <si>
    <t>优化</t>
  </si>
  <si>
    <t>优化</t>
    <phoneticPr fontId="9" type="noConversion"/>
  </si>
  <si>
    <t>代码逻辑需要再次确认</t>
    <phoneticPr fontId="9" type="noConversion"/>
  </si>
  <si>
    <t>参数从16调整为8</t>
    <phoneticPr fontId="5" type="noConversion"/>
  </si>
  <si>
    <t>ttm改为季度</t>
    <phoneticPr fontId="5" type="noConversion"/>
  </si>
  <si>
    <t>表现较好且稳定</t>
    <phoneticPr fontId="5" type="noConversion"/>
  </si>
  <si>
    <t>主题</t>
    <phoneticPr fontId="5" type="noConversion"/>
  </si>
  <si>
    <t>信号</t>
    <phoneticPr fontId="5" type="noConversion"/>
  </si>
  <si>
    <t>原始IC</t>
    <phoneticPr fontId="5" type="noConversion"/>
  </si>
  <si>
    <t>优化后IC</t>
    <phoneticPr fontId="5" type="noConversion"/>
  </si>
  <si>
    <t>操作</t>
    <phoneticPr fontId="5" type="noConversion"/>
  </si>
  <si>
    <t>优化说明</t>
    <phoneticPr fontId="5" type="noConversion"/>
  </si>
  <si>
    <t>成长</t>
    <phoneticPr fontId="5" type="noConversion"/>
  </si>
  <si>
    <t>比值</t>
    <phoneticPr fontId="5" type="noConversion"/>
  </si>
  <si>
    <t>npegs</t>
    <phoneticPr fontId="9" type="noConversion"/>
  </si>
  <si>
    <t>优化</t>
    <phoneticPr fontId="5" type="noConversion"/>
  </si>
  <si>
    <t>成长</t>
    <phoneticPr fontId="5" type="noConversion"/>
  </si>
  <si>
    <t>比值</t>
    <phoneticPr fontId="5" type="noConversion"/>
  </si>
  <si>
    <t>qop2qlgae</t>
    <phoneticPr fontId="9" type="noConversion"/>
  </si>
  <si>
    <t>新增</t>
    <phoneticPr fontId="5" type="noConversion"/>
  </si>
  <si>
    <t>qtor2qtoc</t>
    <phoneticPr fontId="9" type="noConversion"/>
  </si>
  <si>
    <t>新增</t>
    <phoneticPr fontId="5" type="noConversion"/>
  </si>
  <si>
    <t>成长</t>
    <phoneticPr fontId="5" type="noConversion"/>
  </si>
  <si>
    <t>超预期类</t>
    <phoneticPr fontId="5" type="noConversion"/>
  </si>
  <si>
    <t>smarg</t>
    <phoneticPr fontId="9" type="noConversion"/>
  </si>
  <si>
    <t>不变</t>
    <phoneticPr fontId="5" type="noConversion"/>
  </si>
  <si>
    <t>sue</t>
    <phoneticPr fontId="9" type="noConversion"/>
  </si>
  <si>
    <t>不变</t>
    <phoneticPr fontId="5" type="noConversion"/>
  </si>
  <si>
    <t>同比变化</t>
    <phoneticPr fontId="5" type="noConversion"/>
  </si>
  <si>
    <t>roeg_ttm</t>
    <phoneticPr fontId="9" type="noConversion"/>
  </si>
  <si>
    <t>成长</t>
    <phoneticPr fontId="5" type="noConversion"/>
  </si>
  <si>
    <t>同比变化</t>
    <phoneticPr fontId="5" type="noConversion"/>
  </si>
  <si>
    <t>epsg_ttm</t>
    <phoneticPr fontId="9" type="noConversion"/>
  </si>
  <si>
    <t>同比变化占比</t>
    <phoneticPr fontId="5" type="noConversion"/>
  </si>
  <si>
    <t>da2ev</t>
    <phoneticPr fontId="9" type="noConversion"/>
  </si>
  <si>
    <t>同比变化占比</t>
    <phoneticPr fontId="5" type="noConversion"/>
  </si>
  <si>
    <t>dafc2ia</t>
    <phoneticPr fontId="9" type="noConversion"/>
  </si>
  <si>
    <t>dqop2qcpbe</t>
    <phoneticPr fontId="9" type="noConversion"/>
  </si>
  <si>
    <t>不变</t>
    <phoneticPr fontId="5" type="noConversion"/>
  </si>
  <si>
    <t>同比变化占比</t>
    <phoneticPr fontId="5" type="noConversion"/>
  </si>
  <si>
    <t>ds2p</t>
    <phoneticPr fontId="9" type="noConversion"/>
  </si>
  <si>
    <t>fes2</t>
    <phoneticPr fontId="9" type="noConversion"/>
  </si>
  <si>
    <t>nde2p</t>
    <phoneticPr fontId="9" type="noConversion"/>
  </si>
  <si>
    <t>优化</t>
    <phoneticPr fontId="5" type="noConversion"/>
  </si>
  <si>
    <t>nds2ev</t>
    <phoneticPr fontId="9" type="noConversion"/>
  </si>
  <si>
    <t>nfes1</t>
    <phoneticPr fontId="9" type="noConversion"/>
  </si>
  <si>
    <t>统计指标</t>
    <phoneticPr fontId="5" type="noConversion"/>
  </si>
  <si>
    <t>rrqop_qcpacf</t>
    <phoneticPr fontId="9" type="noConversion"/>
  </si>
  <si>
    <t>统计指标</t>
    <phoneticPr fontId="5" type="noConversion"/>
  </si>
  <si>
    <t>rrqop_qncfoa</t>
    <phoneticPr fontId="9" type="noConversion"/>
  </si>
  <si>
    <t>新增</t>
    <phoneticPr fontId="5" type="noConversion"/>
  </si>
  <si>
    <t>增长率对比</t>
    <phoneticPr fontId="5" type="noConversion"/>
  </si>
  <si>
    <t>rqnp_rqcpbe</t>
    <phoneticPr fontId="9" type="noConversion"/>
  </si>
  <si>
    <t>增长率对比</t>
    <phoneticPr fontId="5" type="noConversion"/>
  </si>
  <si>
    <t>rqop_rcpg</t>
    <phoneticPr fontId="9" type="noConversion"/>
  </si>
  <si>
    <t>rqop_rqcpbe</t>
    <phoneticPr fontId="9" type="noConversion"/>
  </si>
  <si>
    <t>rqop_rqlgae</t>
    <phoneticPr fontId="9" type="noConversion"/>
  </si>
  <si>
    <t>增长率类</t>
    <phoneticPr fontId="5" type="noConversion"/>
  </si>
  <si>
    <t>cfg_ttm</t>
    <phoneticPr fontId="9" type="noConversion"/>
  </si>
  <si>
    <t>da2a</t>
    <phoneticPr fontId="9" type="noConversion"/>
  </si>
  <si>
    <t>ne2e_q</t>
    <phoneticPr fontId="9" type="noConversion"/>
  </si>
  <si>
    <t>npg_q</t>
    <phoneticPr fontId="9" type="noConversion"/>
  </si>
  <si>
    <t>新增</t>
    <phoneticPr fontId="5" type="noConversion"/>
  </si>
  <si>
    <t>成长</t>
    <phoneticPr fontId="5" type="noConversion"/>
  </si>
  <si>
    <t>增长率类</t>
    <phoneticPr fontId="5" type="noConversion"/>
  </si>
  <si>
    <t>nqcsg</t>
    <phoneticPr fontId="9" type="noConversion"/>
  </si>
  <si>
    <t>opg_q</t>
    <phoneticPr fontId="9" type="noConversion"/>
  </si>
  <si>
    <t>增长率类</t>
    <phoneticPr fontId="5" type="noConversion"/>
  </si>
  <si>
    <t>opg_ttm</t>
    <phoneticPr fontId="9" type="noConversion"/>
  </si>
  <si>
    <t>org_ttm</t>
    <phoneticPr fontId="9" type="noConversion"/>
  </si>
  <si>
    <t>价值</t>
    <phoneticPr fontId="5" type="noConversion"/>
  </si>
  <si>
    <t>value_bv</t>
    <phoneticPr fontId="5" type="noConversion"/>
  </si>
  <si>
    <t>b2p</t>
    <phoneticPr fontId="9" type="noConversion"/>
  </si>
  <si>
    <t>con_pb_roll</t>
    <phoneticPr fontId="9" type="noConversion"/>
  </si>
  <si>
    <t>价值</t>
    <phoneticPr fontId="5" type="noConversion"/>
  </si>
  <si>
    <t>value_bv</t>
    <phoneticPr fontId="5" type="noConversion"/>
  </si>
  <si>
    <t>con_ps_roll</t>
    <phoneticPr fontId="9" type="noConversion"/>
  </si>
  <si>
    <t>nb2p</t>
    <phoneticPr fontId="9" type="noConversion"/>
  </si>
  <si>
    <t>nsale2ev</t>
    <phoneticPr fontId="9" type="noConversion"/>
  </si>
  <si>
    <t>s12ev</t>
    <phoneticPr fontId="9" type="noConversion"/>
  </si>
  <si>
    <t>优化</t>
    <phoneticPr fontId="5" type="noConversion"/>
  </si>
  <si>
    <t>s23ev</t>
    <phoneticPr fontId="9" type="noConversion"/>
  </si>
  <si>
    <t>sale2ev</t>
    <phoneticPr fontId="9" type="noConversion"/>
  </si>
  <si>
    <t>sale2p</t>
    <phoneticPr fontId="9" type="noConversion"/>
  </si>
  <si>
    <t>ta2ev</t>
    <phoneticPr fontId="9" type="noConversion"/>
  </si>
  <si>
    <t>不变</t>
    <phoneticPr fontId="5" type="noConversion"/>
  </si>
  <si>
    <t>价值</t>
    <phoneticPr fontId="5" type="noConversion"/>
  </si>
  <si>
    <t>value_cf</t>
    <phoneticPr fontId="5" type="noConversion"/>
  </si>
  <si>
    <t>aeb2ev</t>
    <phoneticPr fontId="9" type="noConversion"/>
  </si>
  <si>
    <t>cfo2ev</t>
    <phoneticPr fontId="9" type="noConversion"/>
  </si>
  <si>
    <t>value_cf</t>
    <phoneticPr fontId="5" type="noConversion"/>
  </si>
  <si>
    <t>cfo2p</t>
    <phoneticPr fontId="9" type="noConversion"/>
  </si>
  <si>
    <t>value_dvd</t>
    <phoneticPr fontId="5" type="noConversion"/>
  </si>
  <si>
    <t>d2p</t>
    <phoneticPr fontId="9" type="noConversion"/>
  </si>
  <si>
    <t>value_pe</t>
    <phoneticPr fontId="5" type="noConversion"/>
  </si>
  <si>
    <t>con_pe_roll</t>
    <phoneticPr fontId="9" type="noConversion"/>
  </si>
  <si>
    <t>e2p</t>
    <phoneticPr fontId="9" type="noConversion"/>
  </si>
  <si>
    <t>fy12p</t>
    <phoneticPr fontId="9" type="noConversion"/>
  </si>
  <si>
    <t>fy23p</t>
    <phoneticPr fontId="9" type="noConversion"/>
  </si>
  <si>
    <t>ke2p</t>
    <phoneticPr fontId="9" type="noConversion"/>
  </si>
  <si>
    <t>ne2p</t>
    <phoneticPr fontId="9" type="noConversion"/>
  </si>
  <si>
    <t>情绪</t>
    <phoneticPr fontId="5" type="noConversion"/>
  </si>
  <si>
    <t>波动率</t>
    <phoneticPr fontId="5" type="noConversion"/>
  </si>
  <si>
    <t>ivo_ff12m</t>
    <phoneticPr fontId="9" type="noConversion"/>
  </si>
  <si>
    <t>ivo_ff1m</t>
    <phoneticPr fontId="9" type="noConversion"/>
  </si>
  <si>
    <t>情绪</t>
    <phoneticPr fontId="5" type="noConversion"/>
  </si>
  <si>
    <t>波动率</t>
    <phoneticPr fontId="5" type="noConversion"/>
  </si>
  <si>
    <t>ivr_ff12m</t>
    <phoneticPr fontId="9" type="noConversion"/>
  </si>
  <si>
    <t>ivr_ff1m</t>
    <phoneticPr fontId="9" type="noConversion"/>
  </si>
  <si>
    <t>volatility_12m</t>
    <phoneticPr fontId="9" type="noConversion"/>
  </si>
  <si>
    <t>volatility_1m</t>
    <phoneticPr fontId="9" type="noConversion"/>
  </si>
  <si>
    <t>动量</t>
    <phoneticPr fontId="5" type="noConversion"/>
  </si>
  <si>
    <t>cthl12m</t>
    <phoneticPr fontId="9" type="noConversion"/>
  </si>
  <si>
    <t>cthl6m</t>
    <phoneticPr fontId="9" type="noConversion"/>
  </si>
  <si>
    <t>动量</t>
    <phoneticPr fontId="5" type="noConversion"/>
  </si>
  <si>
    <t>cto12m</t>
    <phoneticPr fontId="9" type="noConversion"/>
  </si>
  <si>
    <t>cto6m</t>
    <phoneticPr fontId="9" type="noConversion"/>
  </si>
  <si>
    <t>demom10</t>
    <phoneticPr fontId="9" type="noConversion"/>
  </si>
  <si>
    <t>demom7</t>
    <phoneticPr fontId="9" type="noConversion"/>
  </si>
  <si>
    <t>maxret33</t>
    <phoneticPr fontId="9" type="noConversion"/>
  </si>
  <si>
    <t>maxret66</t>
    <phoneticPr fontId="9" type="noConversion"/>
  </si>
  <si>
    <t>momentum</t>
    <phoneticPr fontId="9" type="noConversion"/>
  </si>
  <si>
    <t>momentum_t12</t>
    <phoneticPr fontId="9" type="noConversion"/>
  </si>
  <si>
    <t>反转</t>
    <phoneticPr fontId="5" type="noConversion"/>
  </si>
  <si>
    <t>pairs</t>
    <phoneticPr fontId="9" type="noConversion"/>
  </si>
  <si>
    <t>反转</t>
    <phoneticPr fontId="5" type="noConversion"/>
  </si>
  <si>
    <t>revs</t>
    <phoneticPr fontId="9" type="noConversion"/>
  </si>
  <si>
    <t>spb</t>
    <phoneticPr fontId="9" type="noConversion"/>
  </si>
  <si>
    <t>价值反转</t>
    <phoneticPr fontId="5" type="noConversion"/>
  </si>
  <si>
    <t>rcon_peg_roll</t>
    <phoneticPr fontId="9" type="noConversion"/>
  </si>
  <si>
    <t>价值反转</t>
    <phoneticPr fontId="5" type="noConversion"/>
  </si>
  <si>
    <t>rfy12p</t>
    <phoneticPr fontId="9" type="noConversion"/>
  </si>
  <si>
    <t>rpegs</t>
    <phoneticPr fontId="9" type="noConversion"/>
  </si>
  <si>
    <t>流动性</t>
    <phoneticPr fontId="5" type="noConversion"/>
  </si>
  <si>
    <t>davol</t>
    <phoneticPr fontId="9" type="noConversion"/>
  </si>
  <si>
    <t>情绪</t>
    <phoneticPr fontId="5" type="noConversion"/>
  </si>
  <si>
    <t>流动性</t>
    <phoneticPr fontId="5" type="noConversion"/>
  </si>
  <si>
    <t>illiq</t>
    <phoneticPr fontId="9" type="noConversion"/>
  </si>
  <si>
    <t>liquidty</t>
    <phoneticPr fontId="9" type="noConversion"/>
  </si>
  <si>
    <t>vol</t>
    <phoneticPr fontId="9" type="noConversion"/>
  </si>
  <si>
    <t>分析师</t>
    <phoneticPr fontId="5" type="noConversion"/>
  </si>
  <si>
    <t>cov</t>
    <phoneticPr fontId="5" type="noConversion"/>
  </si>
  <si>
    <t>cvg_og3</t>
    <phoneticPr fontId="9" type="noConversion"/>
  </si>
  <si>
    <t>dispersion</t>
    <phoneticPr fontId="5" type="noConversion"/>
  </si>
  <si>
    <t>eps_variability2</t>
    <phoneticPr fontId="9" type="noConversion"/>
  </si>
  <si>
    <t>drec</t>
    <phoneticPr fontId="5" type="noConversion"/>
  </si>
  <si>
    <t>darec_100_60</t>
    <phoneticPr fontId="9" type="noConversion"/>
  </si>
  <si>
    <t>优化</t>
    <phoneticPr fontId="5" type="noConversion"/>
  </si>
  <si>
    <t>分析师</t>
    <phoneticPr fontId="5" type="noConversion"/>
  </si>
  <si>
    <t>drec</t>
    <phoneticPr fontId="5" type="noConversion"/>
  </si>
  <si>
    <t>darec_20_10</t>
    <phoneticPr fontId="9" type="noConversion"/>
  </si>
  <si>
    <t>recud_180_30</t>
    <phoneticPr fontId="9" type="noConversion"/>
  </si>
  <si>
    <t>分析师</t>
    <phoneticPr fontId="5" type="noConversion"/>
  </si>
  <si>
    <t>drec</t>
    <phoneticPr fontId="5" type="noConversion"/>
  </si>
  <si>
    <t>recud_20_10</t>
    <phoneticPr fontId="9" type="noConversion"/>
  </si>
  <si>
    <t>drev</t>
    <phoneticPr fontId="5" type="noConversion"/>
  </si>
  <si>
    <t>darev_120_60</t>
    <phoneticPr fontId="9" type="noConversion"/>
  </si>
  <si>
    <t>darev_40_10</t>
    <phoneticPr fontId="9" type="noConversion"/>
  </si>
  <si>
    <t>darev_60_20</t>
    <phoneticPr fontId="9" type="noConversion"/>
  </si>
  <si>
    <t>grev3</t>
    <phoneticPr fontId="9" type="noConversion"/>
  </si>
  <si>
    <t>rev12</t>
    <phoneticPr fontId="9" type="noConversion"/>
  </si>
  <si>
    <t>drev</t>
    <phoneticPr fontId="5" type="noConversion"/>
  </si>
  <si>
    <t>revudsratio</t>
    <phoneticPr fontId="9" type="noConversion"/>
  </si>
  <si>
    <t>rec</t>
    <phoneticPr fontId="5" type="noConversion"/>
  </si>
  <si>
    <t>brkgs</t>
    <phoneticPr fontId="9" type="noConversion"/>
  </si>
  <si>
    <t>rec</t>
    <phoneticPr fontId="5" type="noConversion"/>
  </si>
  <si>
    <t>intretp</t>
    <phoneticPr fontId="9" type="noConversion"/>
  </si>
  <si>
    <t>分析师</t>
    <phoneticPr fontId="5" type="noConversion"/>
  </si>
  <si>
    <t>rec</t>
    <phoneticPr fontId="5" type="noConversion"/>
  </si>
  <si>
    <t>rec2</t>
    <phoneticPr fontId="9" type="noConversion"/>
  </si>
  <si>
    <t>revud</t>
    <phoneticPr fontId="5" type="noConversion"/>
  </si>
  <si>
    <t>revud_120_60</t>
    <phoneticPr fontId="9" type="noConversion"/>
  </si>
  <si>
    <t>revuds_120_60</t>
    <phoneticPr fontId="9" type="noConversion"/>
  </si>
  <si>
    <t>revuds_40_10</t>
    <phoneticPr fontId="9" type="noConversion"/>
  </si>
  <si>
    <t>revud</t>
    <phoneticPr fontId="5" type="noConversion"/>
  </si>
  <si>
    <t>revuds_60_20</t>
    <phoneticPr fontId="9" type="noConversion"/>
  </si>
  <si>
    <t>质量</t>
    <phoneticPr fontId="5" type="noConversion"/>
  </si>
  <si>
    <t>quality_cashflow</t>
    <phoneticPr fontId="5" type="noConversion"/>
  </si>
  <si>
    <t>abaccall</t>
    <phoneticPr fontId="9" type="noConversion"/>
  </si>
  <si>
    <t>acca</t>
    <phoneticPr fontId="9" type="noConversion"/>
  </si>
  <si>
    <t>ccr</t>
    <phoneticPr fontId="9" type="noConversion"/>
  </si>
  <si>
    <t>depad</t>
    <phoneticPr fontId="9" type="noConversion"/>
  </si>
  <si>
    <t>fcf</t>
    <phoneticPr fontId="9" type="noConversion"/>
  </si>
  <si>
    <t>ocf2ta</t>
    <phoneticPr fontId="9" type="noConversion"/>
  </si>
  <si>
    <t>pio</t>
    <phoneticPr fontId="9" type="noConversion"/>
  </si>
  <si>
    <t>quality_manage</t>
    <phoneticPr fontId="5" type="noConversion"/>
  </si>
  <si>
    <t>mgincome</t>
    <phoneticPr fontId="9" type="noConversion"/>
  </si>
  <si>
    <t>quality_profit</t>
    <phoneticPr fontId="5" type="noConversion"/>
  </si>
  <si>
    <t>dygpoa</t>
    <phoneticPr fontId="9" type="noConversion"/>
  </si>
  <si>
    <t>gpm_q</t>
    <phoneticPr fontId="9" type="noConversion"/>
  </si>
  <si>
    <t>knp2np_q</t>
    <phoneticPr fontId="9" type="noConversion"/>
  </si>
  <si>
    <t>roa</t>
    <phoneticPr fontId="9" type="noConversion"/>
  </si>
  <si>
    <t>roa_q</t>
    <phoneticPr fontId="9" type="noConversion"/>
  </si>
  <si>
    <t>roe</t>
    <phoneticPr fontId="9" type="noConversion"/>
  </si>
  <si>
    <t>roe_q</t>
    <phoneticPr fontId="9" type="noConversion"/>
  </si>
  <si>
    <t>roic</t>
    <phoneticPr fontId="9" type="noConversion"/>
  </si>
  <si>
    <t>sugm</t>
    <phoneticPr fontId="9" type="noConversion"/>
  </si>
  <si>
    <t>quality_safety</t>
    <phoneticPr fontId="5" type="noConversion"/>
  </si>
  <si>
    <t>bab</t>
    <phoneticPr fontId="9" type="noConversion"/>
  </si>
  <si>
    <t>质量</t>
    <phoneticPr fontId="5" type="noConversion"/>
  </si>
  <si>
    <t>quality_safety</t>
    <phoneticPr fontId="5" type="noConversion"/>
  </si>
  <si>
    <t>evol</t>
    <phoneticPr fontId="9" type="noConversion"/>
  </si>
  <si>
    <t>lev</t>
    <phoneticPr fontId="9" type="noConversion"/>
  </si>
  <si>
    <t>o</t>
    <phoneticPr fontId="9" type="noConversion"/>
  </si>
  <si>
    <t>行标签</t>
  </si>
  <si>
    <t>(空白)</t>
  </si>
  <si>
    <t>总计</t>
  </si>
  <si>
    <t>计数项:信号</t>
  </si>
  <si>
    <t>新增</t>
    <phoneticPr fontId="5" type="noConversion"/>
  </si>
  <si>
    <t>平均值项:原始IC</t>
  </si>
  <si>
    <t>平均值项:优化后IC</t>
  </si>
  <si>
    <t>成长</t>
  </si>
  <si>
    <t>分析师</t>
  </si>
  <si>
    <t>质量</t>
  </si>
  <si>
    <t>dqgpoa</t>
  </si>
  <si>
    <t>dqgpoa</t>
    <phoneticPr fontId="9" type="noConversion"/>
  </si>
  <si>
    <t>npg3_ttm</t>
    <phoneticPr fontId="9" type="noConversion"/>
  </si>
  <si>
    <r>
      <t>TTM</t>
    </r>
    <r>
      <rPr>
        <sz val="10.5"/>
        <color theme="1"/>
        <rFont val="宋体"/>
        <family val="3"/>
        <charset val="134"/>
      </rPr>
      <t>净利润相比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年前的增长率，分母最小为</t>
    </r>
    <r>
      <rPr>
        <sz val="10.5"/>
        <color theme="1"/>
        <rFont val="Calibri"/>
        <family val="2"/>
      </rPr>
      <t>1000</t>
    </r>
    <r>
      <rPr>
        <sz val="10.5"/>
        <color theme="1"/>
        <rFont val="宋体"/>
        <family val="3"/>
        <charset val="134"/>
      </rPr>
      <t>万。</t>
    </r>
    <phoneticPr fontId="9" type="noConversion"/>
  </si>
  <si>
    <t>大数据</t>
    <phoneticPr fontId="5" type="noConversion"/>
  </si>
  <si>
    <t>xqfoc</t>
    <phoneticPr fontId="9" type="noConversion"/>
  </si>
  <si>
    <t>雪球关注度数据。自2019年起不再更新</t>
    <phoneticPr fontId="9" type="noConversion"/>
  </si>
  <si>
    <t>focusrate</t>
    <phoneticPr fontId="9" type="noConversion"/>
  </si>
  <si>
    <t>evol2a3</t>
    <phoneticPr fontId="9" type="noConversion"/>
  </si>
  <si>
    <r>
      <rPr>
        <sz val="10.5"/>
        <color theme="1"/>
        <rFont val="宋体"/>
        <family val="3"/>
        <charset val="134"/>
      </rPr>
      <t>利润总额波动率</t>
    </r>
    <r>
      <rPr>
        <sz val="10.5"/>
        <color theme="1"/>
        <rFont val="Calibri"/>
        <family val="2"/>
      </rPr>
      <t>=5</t>
    </r>
    <r>
      <rPr>
        <sz val="10.5"/>
        <color theme="1"/>
        <rFont val="宋体"/>
        <family val="3"/>
        <charset val="134"/>
      </rPr>
      <t>年利润波动率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平均总资产，只取年报数据</t>
    </r>
    <phoneticPr fontId="9" type="noConversion"/>
  </si>
  <si>
    <t>net_profit_excl_min_int_inc,total_assets</t>
    <phoneticPr fontId="9" type="noConversion"/>
  </si>
  <si>
    <r>
      <rPr>
        <sz val="10.5"/>
        <color theme="1"/>
        <rFont val="宋体"/>
        <family val="3"/>
        <charset val="134"/>
      </rPr>
      <t>利润总额波动率</t>
    </r>
    <r>
      <rPr>
        <sz val="10.5"/>
        <color theme="1"/>
        <rFont val="Calibri"/>
        <family val="2"/>
      </rPr>
      <t>=3</t>
    </r>
    <r>
      <rPr>
        <sz val="10.5"/>
        <color theme="1"/>
        <rFont val="宋体"/>
        <family val="3"/>
        <charset val="134"/>
      </rPr>
      <t>年利润波动率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平均总资产，季度数据</t>
    </r>
    <phoneticPr fontId="9" type="noConversion"/>
  </si>
  <si>
    <t>net_profit_excl_min_int_inc,tot_shrhldr_eqy_excl_min_int</t>
    <phoneticPr fontId="9" type="noConversion"/>
  </si>
  <si>
    <r>
      <t>12</t>
    </r>
    <r>
      <rPr>
        <sz val="10.5"/>
        <color theme="1"/>
        <rFont val="宋体"/>
        <family val="3"/>
        <charset val="134"/>
      </rPr>
      <t>个季度</t>
    </r>
    <r>
      <rPr>
        <sz val="10.5"/>
        <color theme="1"/>
        <rFont val="Calibri"/>
        <family val="2"/>
      </rPr>
      <t>roe</t>
    </r>
    <r>
      <rPr>
        <sz val="10.5"/>
        <color theme="1"/>
        <rFont val="宋体"/>
        <family val="3"/>
        <charset val="134"/>
      </rPr>
      <t>的标准差。</t>
    </r>
    <r>
      <rPr>
        <sz val="10.5"/>
        <color theme="1"/>
        <rFont val="Calibri"/>
        <family val="2"/>
      </rPr>
      <t>Roe=Q(</t>
    </r>
    <r>
      <rPr>
        <sz val="10.5"/>
        <color theme="1"/>
        <rFont val="宋体"/>
        <family val="3"/>
        <charset val="134"/>
      </rPr>
      <t>净利润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所有者权益</t>
    </r>
    <phoneticPr fontId="9" type="noConversion"/>
  </si>
  <si>
    <t>darec_20_10</t>
    <phoneticPr fontId="9" type="noConversion"/>
  </si>
  <si>
    <t>recud</t>
    <phoneticPr fontId="9" type="noConversion"/>
  </si>
  <si>
    <t>recud_180_30</t>
    <phoneticPr fontId="9" type="noConversion"/>
  </si>
  <si>
    <t>recud_20_10</t>
    <phoneticPr fontId="9" type="noConversion"/>
  </si>
  <si>
    <t>revuds_40_10</t>
    <phoneticPr fontId="5" type="noConversion"/>
  </si>
  <si>
    <t>darev_l</t>
    <phoneticPr fontId="5" type="noConversion"/>
  </si>
  <si>
    <t>darev_40_10</t>
    <phoneticPr fontId="5" type="noConversion"/>
  </si>
  <si>
    <t>b2pm</t>
    <phoneticPr fontId="9" type="noConversion"/>
  </si>
  <si>
    <t>市净率。其中市值使用上个月末的总市值</t>
    <phoneticPr fontId="9" type="noConversion"/>
  </si>
  <si>
    <t>b12p</t>
    <phoneticPr fontId="9" type="noConversion"/>
  </si>
  <si>
    <t>b23p</t>
    <phoneticPr fontId="9" type="noConversion"/>
  </si>
  <si>
    <t>分析师预测pb</t>
    <phoneticPr fontId="9" type="noConversion"/>
  </si>
  <si>
    <t>待统一</t>
    <phoneticPr fontId="9" type="noConversion"/>
  </si>
  <si>
    <t>beta3m</t>
    <phoneticPr fontId="9" type="noConversion"/>
  </si>
  <si>
    <r>
      <rPr>
        <sz val="10.5"/>
        <color theme="1"/>
        <rFont val="宋体"/>
        <family val="3"/>
        <charset val="134"/>
      </rPr>
      <t>个股收益率相对中证全指过去</t>
    </r>
    <r>
      <rPr>
        <sz val="10.5"/>
        <color theme="1"/>
        <rFont val="Calibri"/>
        <family val="2"/>
      </rPr>
      <t>3</t>
    </r>
    <r>
      <rPr>
        <sz val="10.5"/>
        <color theme="1"/>
        <rFont val="宋体"/>
        <family val="3"/>
        <charset val="134"/>
      </rPr>
      <t>个月的回归系数</t>
    </r>
    <phoneticPr fontId="9" type="noConversion"/>
  </si>
  <si>
    <t>revud_120_60</t>
    <phoneticPr fontId="9" type="noConversion"/>
  </si>
  <si>
    <t>revuds_120_60</t>
    <phoneticPr fontId="9" type="noConversion"/>
  </si>
  <si>
    <t>darev_120_60</t>
    <phoneticPr fontId="9" type="noConversion"/>
  </si>
  <si>
    <t>oper_rev,ev</t>
    <phoneticPr fontId="9" type="noConversion"/>
  </si>
  <si>
    <t>季度营业收入环比增长率,(Q(营业收入)-L1Y_Q(营业收入))/ABS(Q（营业收入））</t>
    <phoneticPr fontId="9" type="noConversion"/>
  </si>
  <si>
    <t>环比增长率</t>
    <phoneticPr fontId="9" type="noConversion"/>
  </si>
  <si>
    <t>Q</t>
    <phoneticPr fontId="9" type="noConversion"/>
  </si>
  <si>
    <t>revuds_120_60</t>
    <phoneticPr fontId="5" type="noConversion"/>
  </si>
  <si>
    <t>revuds_60_20</t>
    <phoneticPr fontId="5" type="noConversion"/>
  </si>
  <si>
    <t>darev_120_60</t>
    <phoneticPr fontId="5" type="noConversion"/>
  </si>
  <si>
    <t>darev_60_20</t>
    <phoneticPr fontId="5" type="noConversion"/>
  </si>
  <si>
    <t>volatility_actual6m</t>
    <phoneticPr fontId="5" type="noConversion"/>
  </si>
  <si>
    <t>volatility_actual12m</t>
    <phoneticPr fontId="5" type="noConversion"/>
  </si>
  <si>
    <t>波动率</t>
    <phoneticPr fontId="5" type="noConversion"/>
  </si>
  <si>
    <t>rrqop_qcpacf</t>
    <phoneticPr fontId="5" type="noConversion"/>
  </si>
  <si>
    <t>rrqop_qncfoa</t>
    <phoneticPr fontId="5" type="noConversion"/>
  </si>
  <si>
    <t>con_peg_roll</t>
    <phoneticPr fontId="5" type="noConversion"/>
  </si>
  <si>
    <t>con_np_yoy_roll</t>
    <phoneticPr fontId="9" type="noConversion"/>
  </si>
  <si>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ROE</t>
    </r>
    <r>
      <rPr>
        <sz val="10.5"/>
        <color theme="1"/>
        <rFont val="宋体"/>
        <family val="3"/>
        <charset val="134"/>
      </rPr>
      <t>同比变化。</t>
    </r>
    <r>
      <rPr>
        <sz val="10.5"/>
        <color theme="1"/>
        <rFont val="Calibri"/>
        <family val="2"/>
      </rPr>
      <t>qroe=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归母净利润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两季度平均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归母所有者权益</t>
    </r>
    <r>
      <rPr>
        <sz val="10.5"/>
        <color theme="1"/>
        <rFont val="Calibri"/>
        <family val="2"/>
      </rPr>
      <t>)
qdroe=YearDelta(roe)=qroe-L1Y_qroe</t>
    </r>
    <phoneticPr fontId="9" type="noConversion"/>
  </si>
  <si>
    <r>
      <rPr>
        <sz val="10.5"/>
        <color theme="1"/>
        <rFont val="宋体"/>
        <family val="3"/>
        <charset val="134"/>
      </rPr>
      <t>注意有可能股东权益还没公布（如预告），此时</t>
    </r>
    <r>
      <rPr>
        <sz val="10.5"/>
        <color theme="1"/>
        <rFont val="Calibri"/>
        <family val="2"/>
      </rPr>
      <t>na.rm=T</t>
    </r>
    <r>
      <rPr>
        <sz val="10.5"/>
        <color theme="1"/>
        <rFont val="宋体"/>
        <family val="3"/>
        <charset val="134"/>
      </rPr>
      <t>。使用了快报和预告数据季度</t>
    </r>
    <r>
      <rPr>
        <sz val="10.5"/>
        <color theme="1"/>
        <rFont val="Calibri"/>
        <family val="2"/>
      </rPr>
      <t>ROE</t>
    </r>
    <r>
      <rPr>
        <sz val="10.5"/>
        <color theme="1"/>
        <rFont val="宋体"/>
        <family val="3"/>
        <charset val="134"/>
      </rPr>
      <t>同比变化。</t>
    </r>
    <r>
      <rPr>
        <sz val="10.5"/>
        <color theme="1"/>
        <rFont val="Calibri"/>
        <family val="2"/>
      </rPr>
      <t>qroe=</t>
    </r>
    <r>
      <rPr>
        <sz val="10.5"/>
        <color theme="1"/>
        <rFont val="宋体"/>
        <family val="3"/>
        <charset val="134"/>
      </rPr>
      <t>季度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归母净利润</t>
    </r>
    <r>
      <rPr>
        <sz val="10.5"/>
        <color theme="1"/>
        <rFont val="Calibri"/>
        <family val="2"/>
      </rPr>
      <t>)/</t>
    </r>
    <r>
      <rPr>
        <sz val="10.5"/>
        <color theme="1"/>
        <rFont val="宋体"/>
        <family val="3"/>
        <charset val="134"/>
      </rPr>
      <t>两季度平均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</rPr>
      <t>归母所有者权益</t>
    </r>
    <r>
      <rPr>
        <sz val="10.5"/>
        <color theme="1"/>
        <rFont val="Calibri"/>
        <family val="2"/>
      </rPr>
      <t>)
qdroe=YearDelta(roe)=qroe-L1Y_qroe</t>
    </r>
    <phoneticPr fontId="9" type="noConversion"/>
  </si>
  <si>
    <t>mom1_con_pb_roll</t>
    <phoneticPr fontId="9" type="noConversion"/>
  </si>
  <si>
    <t>darec_100_60</t>
    <phoneticPr fontId="9" type="noConversion"/>
  </si>
  <si>
    <t>darev_60_20</t>
    <phoneticPr fontId="9" type="noConversion"/>
  </si>
  <si>
    <t>b2paddcor20</t>
    <phoneticPr fontId="9" type="noConversion"/>
  </si>
  <si>
    <t>s12evaddcor20</t>
    <phoneticPr fontId="9" type="noConversion"/>
  </si>
  <si>
    <t>s23evaddcor20</t>
    <phoneticPr fontId="9" type="noConversion"/>
  </si>
  <si>
    <t>sale2evaddcor20</t>
    <phoneticPr fontId="9" type="noConversion"/>
  </si>
  <si>
    <t>ta2evaddcor20</t>
    <phoneticPr fontId="9" type="noConversion"/>
  </si>
  <si>
    <t>b2paddcor60</t>
    <phoneticPr fontId="9" type="noConversion"/>
  </si>
  <si>
    <t>s12evaddcor60</t>
  </si>
  <si>
    <t>s23evaddcor60</t>
  </si>
  <si>
    <t>sale2evaddcor60</t>
  </si>
  <si>
    <t>ta2evaddcor60</t>
  </si>
  <si>
    <t>aeb2evaddcor20</t>
    <phoneticPr fontId="9" type="noConversion"/>
  </si>
  <si>
    <t>cfo2evaddcor20</t>
    <phoneticPr fontId="9" type="noConversion"/>
  </si>
  <si>
    <t>d2paddcor20</t>
    <phoneticPr fontId="9" type="noConversion"/>
  </si>
  <si>
    <t>fy12paddcor20</t>
    <phoneticPr fontId="9" type="noConversion"/>
  </si>
  <si>
    <t>fy23paddcor20</t>
    <phoneticPr fontId="9" type="noConversion"/>
  </si>
  <si>
    <t>ne2paddcor20</t>
    <phoneticPr fontId="9" type="noConversion"/>
  </si>
  <si>
    <t>aeb2evaddcor60</t>
  </si>
  <si>
    <t>cfo2evaddcor60</t>
  </si>
  <si>
    <t>d2paddcor60</t>
  </si>
  <si>
    <t>fy12paddcor60</t>
  </si>
  <si>
    <t>fy23paddcor60</t>
  </si>
  <si>
    <t>ne2paddcor60</t>
  </si>
  <si>
    <t>volatility_actual12m</t>
    <phoneticPr fontId="9" type="noConversion"/>
  </si>
  <si>
    <t>实际波动率</t>
    <phoneticPr fontId="5" type="noConversion"/>
  </si>
  <si>
    <t>volatility_actual1m</t>
    <phoneticPr fontId="9" type="noConversion"/>
  </si>
  <si>
    <t>re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</si>
</sst>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23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.5"/>
      <color theme="1"/>
      <name val="Calibri"/>
      <family val="2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color rgb="FF333333"/>
      <name val="Arial"/>
      <family val="2"/>
    </font>
    <font>
      <sz val="9"/>
      <color rgb="FF333333"/>
      <name val="等线"/>
      <family val="3"/>
      <charset val="134"/>
      <scheme val="minor"/>
    </font>
    <font>
      <sz val="10.5"/>
      <color theme="1"/>
      <name val="SimSun"/>
      <charset val="134"/>
    </font>
    <font>
      <sz val="10.5"/>
      <color theme="1"/>
      <name val="Microsoft YaHei"/>
      <family val="2"/>
      <charset val="134"/>
    </font>
    <font>
      <sz val="10.5"/>
      <color theme="1"/>
      <name val="等线"/>
      <family val="2"/>
    </font>
    <font>
      <b/>
      <sz val="10.5"/>
      <color theme="1"/>
      <name val="宋体"/>
      <family val="3"/>
      <charset val="134"/>
    </font>
    <font>
      <sz val="11"/>
      <name val="等线"/>
      <family val="3"/>
      <charset val="134"/>
      <scheme val="minor"/>
    </font>
    <font>
      <sz val="10.5"/>
      <name val="Calibri"/>
      <family val="2"/>
    </font>
    <font>
      <sz val="10.5"/>
      <name val="宋体"/>
      <family val="3"/>
      <charset val="134"/>
    </font>
    <font>
      <sz val="11"/>
      <name val="等线"/>
      <family val="3"/>
      <charset val="129"/>
      <scheme val="minor"/>
    </font>
    <font>
      <sz val="11"/>
      <name val="等线"/>
      <family val="2"/>
      <scheme val="minor"/>
    </font>
    <font>
      <b/>
      <sz val="10.5"/>
      <name val="Calibri"/>
      <family val="2"/>
    </font>
    <font>
      <sz val="9"/>
      <color rgb="FF333333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3" fillId="0" borderId="0"/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75">
    <xf numFmtId="0" fontId="0" fillId="0" borderId="0" xfId="0"/>
    <xf numFmtId="0" fontId="6" fillId="3" borderId="2" xfId="0" applyFont="1" applyFill="1" applyBorder="1" applyAlignment="1">
      <alignment horizontal="justify" vertical="center" wrapText="1"/>
    </xf>
    <xf numFmtId="0" fontId="7" fillId="3" borderId="2" xfId="0" applyFont="1" applyFill="1" applyBorder="1" applyAlignment="1">
      <alignment horizontal="justify" vertical="center" wrapText="1"/>
    </xf>
    <xf numFmtId="0" fontId="0" fillId="0" borderId="2" xfId="0" applyBorder="1"/>
    <xf numFmtId="0" fontId="0" fillId="3" borderId="2" xfId="0" applyFill="1" applyBorder="1" applyAlignment="1">
      <alignment vertical="center"/>
    </xf>
    <xf numFmtId="0" fontId="15" fillId="3" borderId="2" xfId="0" applyFont="1" applyFill="1" applyBorder="1" applyAlignment="1">
      <alignment horizontal="justify" vertical="center" wrapText="1"/>
    </xf>
    <xf numFmtId="0" fontId="8" fillId="3" borderId="2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wrapText="1"/>
    </xf>
    <xf numFmtId="0" fontId="0" fillId="3" borderId="2" xfId="0" applyFill="1" applyBorder="1" applyAlignment="1">
      <alignment vertical="center" wrapText="1"/>
    </xf>
    <xf numFmtId="0" fontId="0" fillId="0" borderId="0" xfId="0" applyAlignment="1">
      <alignment wrapText="1"/>
    </xf>
    <xf numFmtId="0" fontId="6" fillId="3" borderId="3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0" fillId="0" borderId="2" xfId="0" applyBorder="1" applyAlignment="1">
      <alignment vertical="center"/>
    </xf>
    <xf numFmtId="0" fontId="16" fillId="0" borderId="2" xfId="2" applyFont="1" applyFill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wrapText="1"/>
    </xf>
    <xf numFmtId="0" fontId="0" fillId="3" borderId="0" xfId="0" applyFill="1" applyBorder="1" applyAlignment="1">
      <alignment vertical="center"/>
    </xf>
    <xf numFmtId="0" fontId="16" fillId="0" borderId="2" xfId="3" applyFont="1" applyFill="1" applyBorder="1">
      <alignment vertical="center"/>
    </xf>
    <xf numFmtId="0" fontId="6" fillId="3" borderId="0" xfId="0" applyFont="1" applyFill="1" applyBorder="1" applyAlignment="1">
      <alignment horizontal="justify" vertical="center" wrapText="1"/>
    </xf>
    <xf numFmtId="0" fontId="16" fillId="0" borderId="2" xfId="3" applyFont="1" applyFill="1" applyBorder="1" applyAlignment="1">
      <alignment vertical="center"/>
    </xf>
    <xf numFmtId="0" fontId="7" fillId="3" borderId="0" xfId="0" applyFont="1" applyFill="1" applyBorder="1" applyAlignment="1">
      <alignment horizontal="justify" vertical="center" wrapText="1"/>
    </xf>
    <xf numFmtId="0" fontId="8" fillId="3" borderId="0" xfId="0" applyFont="1" applyFill="1" applyBorder="1" applyAlignment="1">
      <alignment horizontal="justify" vertical="center" wrapText="1"/>
    </xf>
    <xf numFmtId="0" fontId="0" fillId="0" borderId="0" xfId="0" applyBorder="1"/>
    <xf numFmtId="0" fontId="20" fillId="0" borderId="2" xfId="0" applyFont="1" applyBorder="1"/>
    <xf numFmtId="0" fontId="20" fillId="3" borderId="2" xfId="0" applyFont="1" applyFill="1" applyBorder="1" applyAlignment="1">
      <alignment vertical="center"/>
    </xf>
    <xf numFmtId="0" fontId="21" fillId="3" borderId="2" xfId="0" applyFont="1" applyFill="1" applyBorder="1" applyAlignment="1">
      <alignment horizontal="justify" vertical="center" wrapText="1"/>
    </xf>
    <xf numFmtId="0" fontId="17" fillId="3" borderId="2" xfId="0" applyFont="1" applyFill="1" applyBorder="1" applyAlignment="1">
      <alignment horizontal="justify" vertical="center" wrapText="1"/>
    </xf>
    <xf numFmtId="0" fontId="18" fillId="3" borderId="2" xfId="0" applyFont="1" applyFill="1" applyBorder="1" applyAlignment="1">
      <alignment horizontal="justify" vertical="center" wrapText="1"/>
    </xf>
    <xf numFmtId="10" fontId="17" fillId="3" borderId="2" xfId="0" applyNumberFormat="1" applyFont="1" applyFill="1" applyBorder="1" applyAlignment="1">
      <alignment horizontal="justify" vertical="center" wrapText="1"/>
    </xf>
    <xf numFmtId="10" fontId="7" fillId="3" borderId="2" xfId="0" applyNumberFormat="1" applyFont="1" applyFill="1" applyBorder="1" applyAlignment="1">
      <alignment horizontal="justify" vertical="center" wrapText="1"/>
    </xf>
    <xf numFmtId="0" fontId="0" fillId="0" borderId="2" xfId="0" applyBorder="1" applyAlignment="1"/>
    <xf numFmtId="11" fontId="0" fillId="0" borderId="0" xfId="0" applyNumberFormat="1" applyAlignment="1">
      <alignment vertical="center"/>
    </xf>
    <xf numFmtId="10" fontId="0" fillId="0" borderId="0" xfId="4" applyNumberFormat="1" applyFont="1" applyAlignment="1"/>
    <xf numFmtId="10" fontId="7" fillId="3" borderId="2" xfId="4" applyNumberFormat="1" applyFont="1" applyFill="1" applyBorder="1" applyAlignment="1">
      <alignment horizontal="justify" vertical="center" wrapText="1"/>
    </xf>
    <xf numFmtId="0" fontId="0" fillId="0" borderId="0" xfId="0" applyAlignment="1">
      <alignment vertical="center" wrapText="1"/>
    </xf>
    <xf numFmtId="10" fontId="0" fillId="0" borderId="0" xfId="4" applyNumberFormat="1" applyFont="1" applyAlignment="1">
      <alignment vertical="center"/>
    </xf>
    <xf numFmtId="0" fontId="4" fillId="4" borderId="2" xfId="0" applyFont="1" applyFill="1" applyBorder="1" applyAlignment="1">
      <alignment wrapText="1"/>
    </xf>
    <xf numFmtId="0" fontId="0" fillId="4" borderId="2" xfId="0" applyFill="1" applyBorder="1"/>
    <xf numFmtId="0" fontId="6" fillId="4" borderId="2" xfId="0" applyFont="1" applyFill="1" applyBorder="1" applyAlignment="1">
      <alignment horizontal="justify" vertical="center" wrapText="1"/>
    </xf>
    <xf numFmtId="0" fontId="7" fillId="4" borderId="2" xfId="0" applyFont="1" applyFill="1" applyBorder="1" applyAlignment="1">
      <alignment horizontal="justify" vertical="center" wrapText="1"/>
    </xf>
    <xf numFmtId="0" fontId="8" fillId="4" borderId="2" xfId="0" applyFont="1" applyFill="1" applyBorder="1" applyAlignment="1">
      <alignment horizontal="justify" vertical="center" wrapText="1"/>
    </xf>
    <xf numFmtId="0" fontId="15" fillId="4" borderId="2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wrapText="1"/>
    </xf>
    <xf numFmtId="0" fontId="0" fillId="0" borderId="5" xfId="0" applyBorder="1"/>
    <xf numFmtId="0" fontId="4" fillId="2" borderId="0" xfId="0" applyFont="1" applyFill="1" applyBorder="1" applyAlignment="1">
      <alignment wrapText="1"/>
    </xf>
    <xf numFmtId="10" fontId="4" fillId="2" borderId="6" xfId="4" applyNumberFormat="1" applyFont="1" applyFill="1" applyBorder="1" applyAlignment="1">
      <alignment wrapText="1"/>
    </xf>
    <xf numFmtId="0" fontId="0" fillId="3" borderId="4" xfId="0" applyFill="1" applyBorder="1" applyAlignment="1">
      <alignment vertical="center"/>
    </xf>
    <xf numFmtId="0" fontId="0" fillId="3" borderId="4" xfId="0" applyFill="1" applyBorder="1" applyAlignment="1">
      <alignment vertical="center" wrapText="1"/>
    </xf>
    <xf numFmtId="0" fontId="7" fillId="3" borderId="4" xfId="0" applyFont="1" applyFill="1" applyBorder="1" applyAlignment="1">
      <alignment horizontal="justify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0" fillId="0" borderId="7" xfId="0" applyBorder="1"/>
    <xf numFmtId="0" fontId="6" fillId="3" borderId="7" xfId="0" applyFont="1" applyFill="1" applyBorder="1" applyAlignment="1">
      <alignment horizontal="justify" vertical="center" wrapText="1"/>
    </xf>
    <xf numFmtId="0" fontId="7" fillId="3" borderId="7" xfId="0" applyFont="1" applyFill="1" applyBorder="1" applyAlignment="1">
      <alignment horizontal="justify" vertical="center" wrapText="1"/>
    </xf>
    <xf numFmtId="10" fontId="7" fillId="3" borderId="7" xfId="4" applyNumberFormat="1" applyFont="1" applyFill="1" applyBorder="1" applyAlignment="1">
      <alignment horizontal="justify" vertical="center" wrapText="1"/>
    </xf>
    <xf numFmtId="10" fontId="4" fillId="4" borderId="2" xfId="4" applyNumberFormat="1" applyFont="1" applyFill="1" applyBorder="1" applyAlignment="1">
      <alignment wrapText="1"/>
    </xf>
    <xf numFmtId="0" fontId="0" fillId="4" borderId="2" xfId="0" applyFill="1" applyBorder="1" applyAlignment="1">
      <alignment wrapText="1"/>
    </xf>
    <xf numFmtId="10" fontId="4" fillId="2" borderId="0" xfId="4" applyNumberFormat="1" applyFont="1" applyFill="1" applyBorder="1" applyAlignment="1">
      <alignment wrapText="1"/>
    </xf>
    <xf numFmtId="10" fontId="7" fillId="4" borderId="2" xfId="4" applyNumberFormat="1" applyFont="1" applyFill="1" applyBorder="1" applyAlignment="1">
      <alignment horizontal="justify" vertical="center" wrapText="1"/>
    </xf>
    <xf numFmtId="10" fontId="7" fillId="4" borderId="4" xfId="4" applyNumberFormat="1" applyFont="1" applyFill="1" applyBorder="1" applyAlignment="1">
      <alignment horizontal="justify" vertical="center" wrapText="1"/>
    </xf>
    <xf numFmtId="0" fontId="0" fillId="4" borderId="5" xfId="0" applyFill="1" applyBorder="1"/>
    <xf numFmtId="0" fontId="0" fillId="4" borderId="4" xfId="0" applyFill="1" applyBorder="1"/>
    <xf numFmtId="10" fontId="8" fillId="3" borderId="2" xfId="4" applyNumberFormat="1" applyFont="1" applyFill="1" applyBorder="1" applyAlignment="1">
      <alignment horizontal="justify" vertical="center" wrapText="1"/>
    </xf>
    <xf numFmtId="0" fontId="7" fillId="3" borderId="8" xfId="0" applyFont="1" applyFill="1" applyBorder="1" applyAlignment="1">
      <alignment horizontal="justify" vertical="center" wrapText="1"/>
    </xf>
    <xf numFmtId="0" fontId="0" fillId="0" borderId="0" xfId="0" quotePrefix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76" fontId="0" fillId="0" borderId="0" xfId="4" applyNumberFormat="1" applyFont="1" applyAlignment="1">
      <alignment vertical="center"/>
    </xf>
    <xf numFmtId="176" fontId="0" fillId="0" borderId="0" xfId="4" applyNumberFormat="1" applyFont="1" applyAlignment="1"/>
  </cellXfs>
  <cellStyles count="5">
    <cellStyle name="百分比" xfId="4" builtinId="5"/>
    <cellStyle name="常规" xfId="0" builtinId="0"/>
    <cellStyle name="常规 2" xfId="2"/>
    <cellStyle name="常规 3" xfId="1"/>
    <cellStyle name="常规 3 2" xfId="3"/>
  </cellStyles>
  <dxfs count="11">
    <dxf>
      <numFmt numFmtId="14" formatCode="0.00%"/>
    </dxf>
    <dxf>
      <numFmt numFmtId="14" formatCode="0.00%"/>
    </dxf>
    <dxf>
      <numFmt numFmtId="177" formatCode="0.0%"/>
    </dxf>
    <dxf>
      <numFmt numFmtId="177" formatCode="0.0%"/>
    </dxf>
    <dxf>
      <numFmt numFmtId="14" formatCode="0.00%"/>
    </dxf>
    <dxf>
      <numFmt numFmtId="14" formatCode="0.00%"/>
    </dxf>
    <dxf>
      <numFmt numFmtId="177" formatCode="0.0%"/>
    </dxf>
    <dxf>
      <numFmt numFmtId="177" formatCode="0.0%"/>
    </dxf>
    <dxf>
      <numFmt numFmtId="14" formatCode="0.00%"/>
    </dxf>
    <dxf>
      <numFmt numFmtId="177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3744.753553935188" createdVersion="6" refreshedVersion="6" minRefreshableVersion="3" recordCount="128">
  <cacheSource type="worksheet">
    <worksheetSource ref="A1:G1048576" sheet="因子初步筛选汇总"/>
  </cacheSource>
  <cacheFields count="7">
    <cacheField name="主题" numFmtId="0">
      <sharedItems containsBlank="1"/>
    </cacheField>
    <cacheField name="子主题" numFmtId="0">
      <sharedItems containsBlank="1"/>
    </cacheField>
    <cacheField name="信号" numFmtId="0">
      <sharedItems containsBlank="1"/>
    </cacheField>
    <cacheField name="原始IC" numFmtId="10">
      <sharedItems containsBlank="1" containsMixedTypes="1" containsNumber="1" minValue="-3.0000000000000001E-3" maxValue="9.4E-2" count="59">
        <n v="2.9000000000000001E-2"/>
        <n v="3.3000000000000002E-2"/>
        <n v="2.4E-2"/>
        <n v="3.7999999999999999E-2"/>
        <n v="3.5000000000000003E-2"/>
        <n v="1.6E-2"/>
        <n v="0.04"/>
        <n v="3.9E-2"/>
        <n v="1.4E-2"/>
        <n v="2.8000000000000001E-2"/>
        <n v="3.5999999999999997E-2"/>
        <n v="0.02"/>
        <n v="1.7999999999999999E-2"/>
        <n v="2.1999999999999999E-2"/>
        <n v="2.7E-2"/>
        <n v="4.3999999999999997E-2"/>
        <n v="3.4000000000000002E-2"/>
        <n v="3.6999999999999998E-2"/>
        <n v="3.2000000000000001E-2"/>
        <n v="3.1E-2"/>
        <n v="1.9E-2"/>
        <n v="4.9000000000000002E-2"/>
        <n v="2.5999999999999999E-2"/>
        <n v="4.1000000000000002E-2"/>
        <n v="2.3E-2"/>
        <n v="4.5999999999999999E-2"/>
        <n v="5.0999999999999997E-2"/>
        <n v="4.2000000000000003E-2"/>
        <n v="5.8000000000000003E-2"/>
        <n v="5.2999999999999999E-2"/>
        <n v="6.4000000000000001E-2"/>
        <n v="9.1999999999999998E-2"/>
        <n v="5.5E-2"/>
        <n v="0.08"/>
        <n v="6.0999999999999999E-2"/>
        <n v="7.0000000000000007E-2"/>
        <n v="-3.0000000000000001E-3"/>
        <n v="-2E-3"/>
        <n v="5.7000000000000002E-2"/>
        <n v="3.0000000000000001E-3"/>
        <n v="6.0000000000000001E-3"/>
        <n v="7.4999999999999997E-2"/>
        <n v="7.1999999999999995E-2"/>
        <n v="5.8999999999999997E-2"/>
        <n v="4.7E-2"/>
        <n v="9.4E-2"/>
        <n v="4.6100000000000002E-2"/>
        <n v="1.7000000000000001E-2"/>
        <n v="4.0000000000000001E-3"/>
        <n v="2.1000000000000001E-2"/>
        <s v="NA"/>
        <n v="1.2E-2"/>
        <n v="4.2999999999999997E-2"/>
        <n v="7.0000000000000001E-3"/>
        <n v="8.0000000000000002E-3"/>
        <n v="1.4999999999999999E-2"/>
        <n v="1.8499999999999999E-2"/>
        <n v="0.01"/>
        <m/>
      </sharedItems>
    </cacheField>
    <cacheField name="优化后IC" numFmtId="10">
      <sharedItems containsString="0" containsBlank="1" containsNumber="1" minValue="4.0000000000000001E-3" maxValue="7.5999999999999998E-2" count="22">
        <m/>
        <n v="4.7E-2"/>
        <n v="3.6999999999999998E-2"/>
        <n v="4.2999999999999997E-2"/>
        <n v="0.05"/>
        <n v="3.5000000000000003E-2"/>
        <n v="4.1000000000000002E-2"/>
        <n v="6.9000000000000006E-2"/>
        <n v="5.2999999999999999E-2"/>
        <n v="0.06"/>
        <n v="6.0999999999999999E-2"/>
        <n v="7.5999999999999998E-2"/>
        <n v="0.02"/>
        <n v="2.1000000000000001E-2"/>
        <n v="7.1999999999999995E-2"/>
        <n v="4.6699999999999998E-2"/>
        <n v="1.7000000000000001E-2"/>
        <n v="4.0000000000000001E-3"/>
        <n v="1.6E-2"/>
        <n v="3.4000000000000002E-2"/>
        <n v="3.1E-2"/>
        <n v="2.12E-2"/>
      </sharedItems>
    </cacheField>
    <cacheField name="操作" numFmtId="0">
      <sharedItems containsBlank="1" count="4">
        <s v="不变"/>
        <s v="优化"/>
        <s v="新增"/>
        <m/>
      </sharedItems>
    </cacheField>
    <cacheField name="优化说明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作者" refreshedDate="43744.755261574071" createdVersion="6" refreshedVersion="6" minRefreshableVersion="3" recordCount="128">
  <cacheSource type="worksheet">
    <worksheetSource ref="A1:G1024" sheet="因子初步筛选汇总"/>
  </cacheSource>
  <cacheFields count="7">
    <cacheField name="主题" numFmtId="0">
      <sharedItems containsBlank="1" count="6">
        <s v="成长"/>
        <s v="价值"/>
        <s v="情绪"/>
        <s v="分析师"/>
        <s v="质量"/>
        <m/>
      </sharedItems>
    </cacheField>
    <cacheField name="子主题" numFmtId="0">
      <sharedItems containsBlank="1"/>
    </cacheField>
    <cacheField name="信号" numFmtId="0">
      <sharedItems containsBlank="1"/>
    </cacheField>
    <cacheField name="原始IC" numFmtId="10">
      <sharedItems containsBlank="1" containsMixedTypes="1" containsNumber="1" minValue="-3.0000000000000001E-3" maxValue="9.4E-2"/>
    </cacheField>
    <cacheField name="优化后IC" numFmtId="10">
      <sharedItems containsString="0" containsBlank="1" containsNumber="1" minValue="4.0000000000000001E-3" maxValue="7.5999999999999998E-2"/>
    </cacheField>
    <cacheField name="操作" numFmtId="0">
      <sharedItems containsBlank="1" count="4">
        <s v="不变"/>
        <s v="优化"/>
        <s v="新增"/>
        <m/>
      </sharedItems>
    </cacheField>
    <cacheField name="优化说明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8">
  <r>
    <s v="成长"/>
    <s v="比值"/>
    <s v="con_peg_roll"/>
    <x v="0"/>
    <x v="0"/>
    <x v="0"/>
    <m/>
  </r>
  <r>
    <s v="成长"/>
    <s v="比值"/>
    <s v="npegl"/>
    <x v="1"/>
    <x v="1"/>
    <x v="1"/>
    <m/>
  </r>
  <r>
    <s v="成长"/>
    <s v="比值"/>
    <s v="npegs"/>
    <x v="2"/>
    <x v="2"/>
    <x v="1"/>
    <m/>
  </r>
  <r>
    <s v="成长"/>
    <s v="比值"/>
    <s v="qop2qlgae"/>
    <x v="3"/>
    <x v="0"/>
    <x v="2"/>
    <m/>
  </r>
  <r>
    <s v="成长"/>
    <s v="比值"/>
    <s v="qtor2qtoc"/>
    <x v="4"/>
    <x v="0"/>
    <x v="2"/>
    <m/>
  </r>
  <r>
    <s v="成长"/>
    <s v="超预期类"/>
    <s v="smarg"/>
    <x v="5"/>
    <x v="0"/>
    <x v="0"/>
    <m/>
  </r>
  <r>
    <s v="成长"/>
    <s v="超预期类"/>
    <s v="sue"/>
    <x v="6"/>
    <x v="0"/>
    <x v="0"/>
    <m/>
  </r>
  <r>
    <s v="成长"/>
    <s v="超预期类"/>
    <s v="suoi"/>
    <x v="7"/>
    <x v="0"/>
    <x v="0"/>
    <m/>
  </r>
  <r>
    <s v="成长"/>
    <s v="超预期类"/>
    <s v="sup_con_np_yg"/>
    <x v="4"/>
    <x v="1"/>
    <x v="1"/>
    <s v="增加预告数据"/>
  </r>
  <r>
    <s v="成长"/>
    <s v="超预期类"/>
    <s v="supad"/>
    <x v="8"/>
    <x v="0"/>
    <x v="0"/>
    <m/>
  </r>
  <r>
    <s v="成长"/>
    <s v="超预期类"/>
    <s v="sus"/>
    <x v="9"/>
    <x v="0"/>
    <x v="2"/>
    <m/>
  </r>
  <r>
    <s v="成长"/>
    <s v="同比变化"/>
    <s v="nqdroe"/>
    <x v="6"/>
    <x v="3"/>
    <x v="1"/>
    <s v="增加快报和预告数据"/>
  </r>
  <r>
    <s v="成长"/>
    <s v="同比变化"/>
    <s v="qdroa"/>
    <x v="10"/>
    <x v="0"/>
    <x v="0"/>
    <m/>
  </r>
  <r>
    <s v="成长"/>
    <s v="同比变化"/>
    <s v="roeg_ttm"/>
    <x v="11"/>
    <x v="0"/>
    <x v="2"/>
    <m/>
  </r>
  <r>
    <s v="成长"/>
    <s v="同比变化"/>
    <s v="epsg_ttm"/>
    <x v="12"/>
    <x v="0"/>
    <x v="2"/>
    <m/>
  </r>
  <r>
    <s v="成长"/>
    <s v="同比变化占比"/>
    <s v="da2ev"/>
    <x v="2"/>
    <x v="0"/>
    <x v="0"/>
    <m/>
  </r>
  <r>
    <s v="成长"/>
    <s v="同比变化占比"/>
    <s v="dafc2ia"/>
    <x v="13"/>
    <x v="0"/>
    <x v="2"/>
    <m/>
  </r>
  <r>
    <s v="成长"/>
    <s v="同比变化占比"/>
    <s v="dqop2qcpbe"/>
    <x v="10"/>
    <x v="0"/>
    <x v="0"/>
    <m/>
  </r>
  <r>
    <s v="成长"/>
    <s v="同比变化占比"/>
    <s v="ds2p"/>
    <x v="14"/>
    <x v="0"/>
    <x v="0"/>
    <m/>
  </r>
  <r>
    <s v="成长"/>
    <s v="同比变化占比"/>
    <s v="fes2"/>
    <x v="8"/>
    <x v="0"/>
    <x v="0"/>
    <m/>
  </r>
  <r>
    <s v="成长"/>
    <s v="同比变化占比"/>
    <s v="nde2p"/>
    <x v="15"/>
    <x v="4"/>
    <x v="1"/>
    <s v="增加快报和预告数据"/>
  </r>
  <r>
    <s v="成长"/>
    <s v="同比变化占比"/>
    <s v="nds2ev"/>
    <x v="16"/>
    <x v="5"/>
    <x v="1"/>
    <s v="增加快报和预告数据"/>
  </r>
  <r>
    <s v="成长"/>
    <s v="同比变化占比"/>
    <s v="nfes1"/>
    <x v="17"/>
    <x v="6"/>
    <x v="1"/>
    <s v="增加快报和预告数据"/>
  </r>
  <r>
    <s v="成长"/>
    <s v="统计指标"/>
    <s v="rrqop_qcpacf"/>
    <x v="10"/>
    <x v="0"/>
    <x v="2"/>
    <m/>
  </r>
  <r>
    <s v="成长"/>
    <s v="统计指标"/>
    <s v="rrqop_qncfoa"/>
    <x v="10"/>
    <x v="0"/>
    <x v="2"/>
    <m/>
  </r>
  <r>
    <s v="成长"/>
    <s v="增长率对比"/>
    <s v="rqnp_rqcpbe"/>
    <x v="18"/>
    <x v="0"/>
    <x v="2"/>
    <m/>
  </r>
  <r>
    <s v="成长"/>
    <s v="增长率对比"/>
    <s v="rqop_rcpg"/>
    <x v="0"/>
    <x v="0"/>
    <x v="2"/>
    <m/>
  </r>
  <r>
    <s v="成长"/>
    <s v="增长率对比"/>
    <s v="rqop_rqcpbe"/>
    <x v="18"/>
    <x v="0"/>
    <x v="2"/>
    <m/>
  </r>
  <r>
    <s v="成长"/>
    <s v="增长率对比"/>
    <s v="rqop_rqlgae"/>
    <x v="19"/>
    <x v="0"/>
    <x v="2"/>
    <m/>
  </r>
  <r>
    <s v="成长"/>
    <s v="增长率类"/>
    <s v="cfg_ttm"/>
    <x v="20"/>
    <x v="0"/>
    <x v="2"/>
    <m/>
  </r>
  <r>
    <s v="成长"/>
    <s v="增长率类"/>
    <s v="da2a"/>
    <x v="7"/>
    <x v="0"/>
    <x v="2"/>
    <m/>
  </r>
  <r>
    <s v="成长"/>
    <s v="增长率类"/>
    <s v="ne2e_q"/>
    <x v="21"/>
    <x v="0"/>
    <x v="2"/>
    <m/>
  </r>
  <r>
    <s v="成长"/>
    <s v="增长率类"/>
    <s v="npg_q"/>
    <x v="22"/>
    <x v="0"/>
    <x v="2"/>
    <m/>
  </r>
  <r>
    <s v="成长"/>
    <s v="增长率类"/>
    <s v="nqcsg"/>
    <x v="18"/>
    <x v="0"/>
    <x v="0"/>
    <m/>
  </r>
  <r>
    <s v="成长"/>
    <s v="增长率类"/>
    <s v="opg_q"/>
    <x v="23"/>
    <x v="0"/>
    <x v="2"/>
    <m/>
  </r>
  <r>
    <s v="成长"/>
    <s v="增长率类"/>
    <s v="opg_ttm"/>
    <x v="24"/>
    <x v="0"/>
    <x v="2"/>
    <m/>
  </r>
  <r>
    <s v="成长"/>
    <s v="增长率类"/>
    <s v="org_ttm"/>
    <x v="22"/>
    <x v="0"/>
    <x v="2"/>
    <m/>
  </r>
  <r>
    <s v="价值"/>
    <s v="value_bv"/>
    <s v="b2p"/>
    <x v="25"/>
    <x v="7"/>
    <x v="1"/>
    <s v="根据最近20天的b2p相关性，增加相关性高部分的分数，降低相关性低的分数。换手率大幅提高"/>
  </r>
  <r>
    <s v="价值"/>
    <s v="value_bv"/>
    <s v="con_pb_roll"/>
    <x v="26"/>
    <x v="0"/>
    <x v="0"/>
    <m/>
  </r>
  <r>
    <s v="价值"/>
    <s v="value_bv"/>
    <s v="con_ps_roll"/>
    <x v="22"/>
    <x v="0"/>
    <x v="0"/>
    <m/>
  </r>
  <r>
    <s v="价值"/>
    <s v="value_bv"/>
    <s v="nb2p"/>
    <x v="4"/>
    <x v="0"/>
    <x v="0"/>
    <m/>
  </r>
  <r>
    <s v="价值"/>
    <s v="value_bv"/>
    <s v="nsale2ev"/>
    <x v="0"/>
    <x v="0"/>
    <x v="0"/>
    <m/>
  </r>
  <r>
    <s v="价值"/>
    <s v="value_bv"/>
    <s v="s12ev"/>
    <x v="2"/>
    <x v="8"/>
    <x v="1"/>
    <s v="根据最近20天的b2p相关性，增加相关性高部分的分数，降低相关性低的分数。换手率大幅提高"/>
  </r>
  <r>
    <s v="价值"/>
    <s v="value_bv"/>
    <s v="s23ev"/>
    <x v="22"/>
    <x v="0"/>
    <x v="0"/>
    <m/>
  </r>
  <r>
    <s v="价值"/>
    <s v="value_bv"/>
    <s v="sale2ev"/>
    <x v="0"/>
    <x v="9"/>
    <x v="1"/>
    <s v="根据最近20天的b2p相关性，增加相关性高部分的分数，降低相关性低的分数。换手率大幅提高"/>
  </r>
  <r>
    <s v="价值"/>
    <s v="value_bv"/>
    <s v="sale2p"/>
    <x v="14"/>
    <x v="0"/>
    <x v="0"/>
    <m/>
  </r>
  <r>
    <s v="价值"/>
    <s v="value_bv"/>
    <s v="ta2ev"/>
    <x v="7"/>
    <x v="0"/>
    <x v="0"/>
    <m/>
  </r>
  <r>
    <s v="价值"/>
    <s v="value_cf"/>
    <s v="aeb2ev"/>
    <x v="0"/>
    <x v="0"/>
    <x v="0"/>
    <m/>
  </r>
  <r>
    <s v="价值"/>
    <s v="value_cf"/>
    <s v="cfo2ev"/>
    <x v="17"/>
    <x v="0"/>
    <x v="0"/>
    <m/>
  </r>
  <r>
    <s v="价值"/>
    <s v="value_cf"/>
    <s v="cfo2p"/>
    <x v="19"/>
    <x v="0"/>
    <x v="0"/>
    <m/>
  </r>
  <r>
    <s v="价值"/>
    <s v="value_dvd"/>
    <s v="d2p"/>
    <x v="27"/>
    <x v="0"/>
    <x v="0"/>
    <m/>
  </r>
  <r>
    <s v="价值"/>
    <s v="value_pe"/>
    <s v="con_pe_roll"/>
    <x v="28"/>
    <x v="0"/>
    <x v="0"/>
    <m/>
  </r>
  <r>
    <s v="价值"/>
    <s v="value_pe"/>
    <s v="e2p"/>
    <x v="29"/>
    <x v="0"/>
    <x v="0"/>
    <m/>
  </r>
  <r>
    <s v="价值"/>
    <s v="value_pe"/>
    <s v="fy12p"/>
    <x v="28"/>
    <x v="0"/>
    <x v="0"/>
    <m/>
  </r>
  <r>
    <s v="价值"/>
    <s v="value_pe"/>
    <s v="fy23p"/>
    <x v="28"/>
    <x v="0"/>
    <x v="0"/>
    <m/>
  </r>
  <r>
    <s v="价值"/>
    <s v="value_pe"/>
    <s v="ke2p"/>
    <x v="26"/>
    <x v="0"/>
    <x v="0"/>
    <m/>
  </r>
  <r>
    <s v="价值"/>
    <s v="value_pe"/>
    <s v="ne2p"/>
    <x v="28"/>
    <x v="0"/>
    <x v="1"/>
    <s v="使用预告和快报的数据表现更好"/>
  </r>
  <r>
    <s v="情绪"/>
    <s v="波动率"/>
    <s v="ivo_ff12m"/>
    <x v="30"/>
    <x v="0"/>
    <x v="2"/>
    <s v="换手率低，使用于构建月度以上"/>
  </r>
  <r>
    <s v="情绪"/>
    <s v="波动率"/>
    <s v="ivo_ff1m"/>
    <x v="31"/>
    <x v="0"/>
    <x v="0"/>
    <m/>
  </r>
  <r>
    <s v="情绪"/>
    <s v="波动率"/>
    <s v="ivr_ff12m"/>
    <x v="32"/>
    <x v="0"/>
    <x v="2"/>
    <s v="换手率低，使用于构建月度以上"/>
  </r>
  <r>
    <s v="情绪"/>
    <s v="波动率"/>
    <s v="ivr_ff1m"/>
    <x v="33"/>
    <x v="0"/>
    <x v="0"/>
    <m/>
  </r>
  <r>
    <s v="情绪"/>
    <s v="波动率"/>
    <s v="volatility_12m"/>
    <x v="34"/>
    <x v="10"/>
    <x v="1"/>
    <s v="真实收益率的收益率更高，IR更高"/>
  </r>
  <r>
    <s v="情绪"/>
    <s v="波动率"/>
    <s v="volatility_1m"/>
    <x v="35"/>
    <x v="11"/>
    <x v="1"/>
    <s v="真实收益率的收益率更高，IR更高"/>
  </r>
  <r>
    <s v="情绪"/>
    <s v="动量"/>
    <s v="cthl12m"/>
    <x v="11"/>
    <x v="0"/>
    <x v="2"/>
    <s v="隔日动量，根据高开/低开，计算当日收益"/>
  </r>
  <r>
    <s v="情绪"/>
    <s v="动量"/>
    <s v="cthl6m"/>
    <x v="13"/>
    <x v="0"/>
    <x v="2"/>
    <s v="隔日动量，根据高开/低开，计算当日收益"/>
  </r>
  <r>
    <s v="情绪"/>
    <s v="动量"/>
    <s v="cto12m"/>
    <x v="13"/>
    <x v="0"/>
    <x v="2"/>
    <s v="隔日动量"/>
  </r>
  <r>
    <s v="情绪"/>
    <s v="动量"/>
    <s v="cto6m"/>
    <x v="24"/>
    <x v="0"/>
    <x v="2"/>
    <s v="隔日动量"/>
  </r>
  <r>
    <s v="情绪"/>
    <s v="动量"/>
    <s v="demom10"/>
    <x v="36"/>
    <x v="12"/>
    <x v="1"/>
    <s v="drmom9m，采用收益率和正收益率胜率双排序"/>
  </r>
  <r>
    <s v="情绪"/>
    <s v="动量"/>
    <s v="demom7"/>
    <x v="37"/>
    <x v="13"/>
    <x v="1"/>
    <s v="drmom7m，采用收益率和正收益率胜率双排序"/>
  </r>
  <r>
    <s v="情绪"/>
    <s v="动量"/>
    <s v="maxret33"/>
    <x v="30"/>
    <x v="0"/>
    <x v="2"/>
    <s v="最近3个月收益率最高3天的均值"/>
  </r>
  <r>
    <s v="情绪"/>
    <s v="动量"/>
    <s v="maxret66"/>
    <x v="38"/>
    <x v="0"/>
    <x v="2"/>
    <s v="最近6个月收益率最高6天的均值"/>
  </r>
  <r>
    <s v="情绪"/>
    <s v="动量"/>
    <s v="momentum"/>
    <x v="39"/>
    <x v="0"/>
    <x v="0"/>
    <s v="风险模型动量"/>
  </r>
  <r>
    <s v="情绪"/>
    <s v="动量"/>
    <s v="momentum_t12"/>
    <x v="40"/>
    <x v="0"/>
    <x v="0"/>
    <m/>
  </r>
  <r>
    <s v="情绪"/>
    <s v="反转"/>
    <s v="pairs"/>
    <x v="23"/>
    <x v="0"/>
    <x v="0"/>
    <m/>
  </r>
  <r>
    <s v="情绪"/>
    <s v="反转"/>
    <s v="revs"/>
    <x v="41"/>
    <x v="14"/>
    <x v="1"/>
    <s v="使用每笔成交金额金额分割，构建因子。IC稍有下降，但IR大幅提高。从2.51变为4.5。"/>
  </r>
  <r>
    <s v="情绪"/>
    <s v="反转"/>
    <s v="spb"/>
    <x v="42"/>
    <x v="0"/>
    <x v="0"/>
    <m/>
  </r>
  <r>
    <s v="情绪"/>
    <s v="价值反转"/>
    <s v="rcon_peg_roll"/>
    <x v="27"/>
    <x v="0"/>
    <x v="0"/>
    <s v="结合财务数据和价格变化"/>
  </r>
  <r>
    <s v="情绪"/>
    <s v="价值反转"/>
    <s v="rfy12p"/>
    <x v="43"/>
    <x v="0"/>
    <x v="0"/>
    <s v="结合财务数据和价格变化"/>
  </r>
  <r>
    <s v="情绪"/>
    <s v="价值反转"/>
    <s v="rpegs"/>
    <x v="23"/>
    <x v="0"/>
    <x v="0"/>
    <s v="结合财务数据和价格变化"/>
  </r>
  <r>
    <s v="情绪"/>
    <s v="流动性"/>
    <s v="davol"/>
    <x v="44"/>
    <x v="0"/>
    <x v="0"/>
    <m/>
  </r>
  <r>
    <s v="情绪"/>
    <s v="流动性"/>
    <s v="illiq"/>
    <x v="34"/>
    <x v="0"/>
    <x v="0"/>
    <s v="非流动性因子"/>
  </r>
  <r>
    <s v="情绪"/>
    <s v="流动性"/>
    <s v="liquidty"/>
    <x v="33"/>
    <x v="0"/>
    <x v="0"/>
    <s v="0.35 · STOM + 0.35 · STOQ + 0.30 · STOA"/>
  </r>
  <r>
    <s v="情绪"/>
    <s v="流动性"/>
    <s v="vol"/>
    <x v="45"/>
    <x v="0"/>
    <x v="1"/>
    <s v="自由流通股本换手率"/>
  </r>
  <r>
    <s v="分析师"/>
    <s v="cov"/>
    <s v="cvg_og3"/>
    <x v="46"/>
    <x v="15"/>
    <x v="1"/>
    <s v="同一机构不同日期算多次"/>
  </r>
  <r>
    <s v="分析师"/>
    <s v="dispersion"/>
    <s v="eps_variability2"/>
    <x v="20"/>
    <x v="0"/>
    <x v="0"/>
    <m/>
  </r>
  <r>
    <s v="分析师"/>
    <s v="drec"/>
    <s v="darec_100_60"/>
    <x v="47"/>
    <x v="16"/>
    <x v="1"/>
    <s v="原先darec和darec_l相关性高，用此因子替代。对不同回看期和半衰期的数据进行枚举，根据长、中、短回看期和彼此之间的相关系数，选择因子"/>
  </r>
  <r>
    <s v="分析师"/>
    <s v="drec"/>
    <s v="darec_20_10"/>
    <x v="48"/>
    <x v="17"/>
    <x v="1"/>
    <s v="替代darecs"/>
  </r>
  <r>
    <s v="分析师"/>
    <s v="drec"/>
    <s v="recud_180_30"/>
    <x v="49"/>
    <x v="13"/>
    <x v="1"/>
    <s v="替代recud和recud_l"/>
  </r>
  <r>
    <s v="分析师"/>
    <s v="drec"/>
    <s v="recud_20_10"/>
    <x v="5"/>
    <x v="18"/>
    <x v="1"/>
    <s v="替代recud_s"/>
  </r>
  <r>
    <s v="分析师"/>
    <s v="drev"/>
    <s v="darev_120_60"/>
    <x v="16"/>
    <x v="19"/>
    <x v="1"/>
    <s v="替代darev_l"/>
  </r>
  <r>
    <s v="分析师"/>
    <s v="drev"/>
    <s v="darev_40_10"/>
    <x v="19"/>
    <x v="20"/>
    <x v="1"/>
    <s v="替代darev_s"/>
  </r>
  <r>
    <s v="分析师"/>
    <s v="drev"/>
    <s v="darev_60_20"/>
    <x v="4"/>
    <x v="5"/>
    <x v="1"/>
    <s v="替代darev"/>
  </r>
  <r>
    <s v="分析师"/>
    <s v="drev"/>
    <s v="grev3"/>
    <x v="14"/>
    <x v="0"/>
    <x v="0"/>
    <m/>
  </r>
  <r>
    <s v="分析师"/>
    <s v="drev"/>
    <s v="rev12"/>
    <x v="8"/>
    <x v="0"/>
    <x v="0"/>
    <m/>
  </r>
  <r>
    <s v="分析师"/>
    <s v="drev"/>
    <s v="revudsratio"/>
    <x v="16"/>
    <x v="0"/>
    <x v="0"/>
    <m/>
  </r>
  <r>
    <s v="分析师"/>
    <s v="rec"/>
    <s v="brkgs"/>
    <x v="50"/>
    <x v="0"/>
    <x v="0"/>
    <m/>
  </r>
  <r>
    <s v="分析师"/>
    <s v="rec"/>
    <s v="intretp"/>
    <x v="50"/>
    <x v="0"/>
    <x v="0"/>
    <m/>
  </r>
  <r>
    <s v="分析师"/>
    <s v="rec"/>
    <s v="rec2"/>
    <x v="9"/>
    <x v="0"/>
    <x v="0"/>
    <m/>
  </r>
  <r>
    <s v="分析师"/>
    <s v="revud"/>
    <s v="revud_120_60"/>
    <x v="51"/>
    <x v="0"/>
    <x v="1"/>
    <s v="替代revud"/>
  </r>
  <r>
    <s v="分析师"/>
    <s v="revud"/>
    <s v="revuds_120_60"/>
    <x v="27"/>
    <x v="0"/>
    <x v="1"/>
    <s v="替代revuds_l"/>
  </r>
  <r>
    <s v="分析师"/>
    <s v="revud"/>
    <s v="revuds_40_10"/>
    <x v="18"/>
    <x v="0"/>
    <x v="1"/>
    <s v="替代revuds_s"/>
  </r>
  <r>
    <s v="分析师"/>
    <s v="revud"/>
    <s v="revuds_60_20"/>
    <x v="52"/>
    <x v="0"/>
    <x v="1"/>
    <s v="替代revuds"/>
  </r>
  <r>
    <s v="质量"/>
    <s v="quality_cashflow"/>
    <s v="abaccall"/>
    <x v="53"/>
    <x v="0"/>
    <x v="0"/>
    <m/>
  </r>
  <r>
    <s v="质量"/>
    <s v="quality_cashflow"/>
    <s v="acca"/>
    <x v="54"/>
    <x v="0"/>
    <x v="0"/>
    <m/>
  </r>
  <r>
    <s v="质量"/>
    <s v="quality_cashflow"/>
    <s v="ccr"/>
    <x v="49"/>
    <x v="0"/>
    <x v="2"/>
    <s v="表现较好且稳定"/>
  </r>
  <r>
    <s v="质量"/>
    <s v="quality_cashflow"/>
    <s v="depad"/>
    <x v="49"/>
    <x v="0"/>
    <x v="0"/>
    <m/>
  </r>
  <r>
    <s v="质量"/>
    <s v="quality_cashflow"/>
    <s v="fcf"/>
    <x v="55"/>
    <x v="0"/>
    <x v="0"/>
    <m/>
  </r>
  <r>
    <s v="质量"/>
    <s v="quality_cashflow"/>
    <s v="ocf2ta"/>
    <x v="2"/>
    <x v="0"/>
    <x v="0"/>
    <m/>
  </r>
  <r>
    <s v="质量"/>
    <s v="quality_cashflow"/>
    <s v="pio"/>
    <x v="14"/>
    <x v="0"/>
    <x v="0"/>
    <m/>
  </r>
  <r>
    <s v="质量"/>
    <s v="quality_manage"/>
    <s v="mgincome"/>
    <x v="4"/>
    <x v="0"/>
    <x v="0"/>
    <m/>
  </r>
  <r>
    <s v="质量"/>
    <s v="quality_profit"/>
    <s v="dygpoa"/>
    <x v="5"/>
    <x v="0"/>
    <x v="1"/>
    <s v="ttm改为季度"/>
  </r>
  <r>
    <s v="质量"/>
    <s v="quality_profit"/>
    <s v="gpm_q"/>
    <x v="11"/>
    <x v="0"/>
    <x v="0"/>
    <m/>
  </r>
  <r>
    <s v="质量"/>
    <s v="quality_profit"/>
    <s v="knp2np_q"/>
    <x v="24"/>
    <x v="0"/>
    <x v="0"/>
    <m/>
  </r>
  <r>
    <s v="质量"/>
    <s v="quality_profit"/>
    <s v="roa"/>
    <x v="9"/>
    <x v="0"/>
    <x v="0"/>
    <m/>
  </r>
  <r>
    <s v="质量"/>
    <s v="quality_profit"/>
    <s v="roa_q"/>
    <x v="52"/>
    <x v="0"/>
    <x v="0"/>
    <m/>
  </r>
  <r>
    <s v="质量"/>
    <s v="quality_profit"/>
    <s v="roe"/>
    <x v="18"/>
    <x v="0"/>
    <x v="0"/>
    <m/>
  </r>
  <r>
    <s v="质量"/>
    <s v="quality_profit"/>
    <s v="roe_q"/>
    <x v="21"/>
    <x v="0"/>
    <x v="0"/>
    <m/>
  </r>
  <r>
    <s v="质量"/>
    <s v="quality_profit"/>
    <s v="roic"/>
    <x v="16"/>
    <x v="0"/>
    <x v="2"/>
    <m/>
  </r>
  <r>
    <s v="质量"/>
    <s v="quality_profit"/>
    <s v="sugm"/>
    <x v="56"/>
    <x v="21"/>
    <x v="1"/>
    <s v="参数从16调整为8"/>
  </r>
  <r>
    <s v="质量"/>
    <s v="quality_safety"/>
    <s v="bab"/>
    <x v="23"/>
    <x v="0"/>
    <x v="0"/>
    <m/>
  </r>
  <r>
    <s v="质量"/>
    <s v="quality_safety"/>
    <s v="evol"/>
    <x v="8"/>
    <x v="0"/>
    <x v="0"/>
    <m/>
  </r>
  <r>
    <s v="质量"/>
    <s v="quality_safety"/>
    <s v="lev"/>
    <x v="57"/>
    <x v="0"/>
    <x v="0"/>
    <m/>
  </r>
  <r>
    <s v="质量"/>
    <s v="quality_safety"/>
    <s v="o"/>
    <x v="9"/>
    <x v="0"/>
    <x v="0"/>
    <m/>
  </r>
  <r>
    <m/>
    <m/>
    <m/>
    <x v="58"/>
    <x v="0"/>
    <x v="3"/>
    <m/>
  </r>
  <r>
    <m/>
    <m/>
    <m/>
    <x v="58"/>
    <x v="0"/>
    <x v="3"/>
    <m/>
  </r>
  <r>
    <m/>
    <m/>
    <m/>
    <x v="58"/>
    <x v="0"/>
    <x v="3"/>
    <m/>
  </r>
  <r>
    <m/>
    <m/>
    <m/>
    <x v="58"/>
    <x v="0"/>
    <x v="3"/>
    <m/>
  </r>
  <r>
    <m/>
    <m/>
    <m/>
    <x v="58"/>
    <x v="0"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8">
  <r>
    <x v="0"/>
    <s v="比值"/>
    <s v="con_peg_roll"/>
    <n v="2.9000000000000001E-2"/>
    <m/>
    <x v="0"/>
    <m/>
  </r>
  <r>
    <x v="0"/>
    <s v="比值"/>
    <s v="npegl"/>
    <n v="3.3000000000000002E-2"/>
    <n v="4.7E-2"/>
    <x v="1"/>
    <m/>
  </r>
  <r>
    <x v="0"/>
    <s v="比值"/>
    <s v="npegs"/>
    <n v="2.4E-2"/>
    <n v="3.6999999999999998E-2"/>
    <x v="1"/>
    <m/>
  </r>
  <r>
    <x v="0"/>
    <s v="比值"/>
    <s v="qop2qlgae"/>
    <n v="3.7999999999999999E-2"/>
    <m/>
    <x v="2"/>
    <m/>
  </r>
  <r>
    <x v="0"/>
    <s v="比值"/>
    <s v="qtor2qtoc"/>
    <n v="3.5000000000000003E-2"/>
    <m/>
    <x v="2"/>
    <m/>
  </r>
  <r>
    <x v="0"/>
    <s v="超预期类"/>
    <s v="smarg"/>
    <n v="1.6E-2"/>
    <m/>
    <x v="0"/>
    <m/>
  </r>
  <r>
    <x v="0"/>
    <s v="超预期类"/>
    <s v="sue"/>
    <n v="0.04"/>
    <m/>
    <x v="0"/>
    <m/>
  </r>
  <r>
    <x v="0"/>
    <s v="超预期类"/>
    <s v="suoi"/>
    <n v="3.9E-2"/>
    <m/>
    <x v="0"/>
    <m/>
  </r>
  <r>
    <x v="0"/>
    <s v="超预期类"/>
    <s v="sup_con_np_yg"/>
    <n v="3.5000000000000003E-2"/>
    <n v="4.7E-2"/>
    <x v="1"/>
    <s v="增加预告数据"/>
  </r>
  <r>
    <x v="0"/>
    <s v="超预期类"/>
    <s v="supad"/>
    <n v="1.4E-2"/>
    <m/>
    <x v="0"/>
    <m/>
  </r>
  <r>
    <x v="0"/>
    <s v="超预期类"/>
    <s v="sus"/>
    <n v="2.8000000000000001E-2"/>
    <m/>
    <x v="2"/>
    <m/>
  </r>
  <r>
    <x v="0"/>
    <s v="同比变化"/>
    <s v="nqdroe"/>
    <n v="0.04"/>
    <n v="4.2999999999999997E-2"/>
    <x v="1"/>
    <s v="增加快报和预告数据"/>
  </r>
  <r>
    <x v="0"/>
    <s v="同比变化"/>
    <s v="qdroa"/>
    <n v="3.5999999999999997E-2"/>
    <m/>
    <x v="0"/>
    <m/>
  </r>
  <r>
    <x v="0"/>
    <s v="同比变化"/>
    <s v="roeg_ttm"/>
    <n v="0.02"/>
    <m/>
    <x v="2"/>
    <m/>
  </r>
  <r>
    <x v="0"/>
    <s v="同比变化"/>
    <s v="epsg_ttm"/>
    <n v="1.7999999999999999E-2"/>
    <m/>
    <x v="2"/>
    <m/>
  </r>
  <r>
    <x v="0"/>
    <s v="同比变化占比"/>
    <s v="da2ev"/>
    <n v="2.4E-2"/>
    <m/>
    <x v="0"/>
    <m/>
  </r>
  <r>
    <x v="0"/>
    <s v="同比变化占比"/>
    <s v="dafc2ia"/>
    <n v="2.1999999999999999E-2"/>
    <m/>
    <x v="2"/>
    <m/>
  </r>
  <r>
    <x v="0"/>
    <s v="同比变化占比"/>
    <s v="dqop2qcpbe"/>
    <n v="3.5999999999999997E-2"/>
    <m/>
    <x v="0"/>
    <m/>
  </r>
  <r>
    <x v="0"/>
    <s v="同比变化占比"/>
    <s v="ds2p"/>
    <n v="2.7E-2"/>
    <m/>
    <x v="0"/>
    <m/>
  </r>
  <r>
    <x v="0"/>
    <s v="同比变化占比"/>
    <s v="fes2"/>
    <n v="1.4E-2"/>
    <m/>
    <x v="0"/>
    <m/>
  </r>
  <r>
    <x v="0"/>
    <s v="同比变化占比"/>
    <s v="nde2p"/>
    <n v="4.3999999999999997E-2"/>
    <n v="0.05"/>
    <x v="1"/>
    <s v="增加快报和预告数据"/>
  </r>
  <r>
    <x v="0"/>
    <s v="同比变化占比"/>
    <s v="nds2ev"/>
    <n v="3.4000000000000002E-2"/>
    <n v="3.5000000000000003E-2"/>
    <x v="1"/>
    <s v="增加快报和预告数据"/>
  </r>
  <r>
    <x v="0"/>
    <s v="同比变化占比"/>
    <s v="nfes1"/>
    <n v="3.6999999999999998E-2"/>
    <n v="4.1000000000000002E-2"/>
    <x v="1"/>
    <s v="增加快报和预告数据"/>
  </r>
  <r>
    <x v="0"/>
    <s v="统计指标"/>
    <s v="rrqop_qcpacf"/>
    <n v="3.5999999999999997E-2"/>
    <m/>
    <x v="2"/>
    <m/>
  </r>
  <r>
    <x v="0"/>
    <s v="统计指标"/>
    <s v="rrqop_qncfoa"/>
    <n v="3.5999999999999997E-2"/>
    <m/>
    <x v="2"/>
    <m/>
  </r>
  <r>
    <x v="0"/>
    <s v="增长率对比"/>
    <s v="rqnp_rqcpbe"/>
    <n v="3.2000000000000001E-2"/>
    <m/>
    <x v="2"/>
    <m/>
  </r>
  <r>
    <x v="0"/>
    <s v="增长率对比"/>
    <s v="rqop_rcpg"/>
    <n v="2.9000000000000001E-2"/>
    <m/>
    <x v="2"/>
    <m/>
  </r>
  <r>
    <x v="0"/>
    <s v="增长率对比"/>
    <s v="rqop_rqcpbe"/>
    <n v="3.2000000000000001E-2"/>
    <m/>
    <x v="2"/>
    <m/>
  </r>
  <r>
    <x v="0"/>
    <s v="增长率对比"/>
    <s v="rqop_rqlgae"/>
    <n v="3.1E-2"/>
    <m/>
    <x v="2"/>
    <m/>
  </r>
  <r>
    <x v="0"/>
    <s v="增长率类"/>
    <s v="cfg_ttm"/>
    <n v="1.9E-2"/>
    <m/>
    <x v="2"/>
    <m/>
  </r>
  <r>
    <x v="0"/>
    <s v="增长率类"/>
    <s v="da2a"/>
    <n v="3.9E-2"/>
    <m/>
    <x v="2"/>
    <m/>
  </r>
  <r>
    <x v="0"/>
    <s v="增长率类"/>
    <s v="ne2e_q"/>
    <n v="4.9000000000000002E-2"/>
    <m/>
    <x v="2"/>
    <m/>
  </r>
  <r>
    <x v="0"/>
    <s v="增长率类"/>
    <s v="npg_q"/>
    <n v="2.5999999999999999E-2"/>
    <m/>
    <x v="2"/>
    <m/>
  </r>
  <r>
    <x v="0"/>
    <s v="增长率类"/>
    <s v="nqcsg"/>
    <n v="3.2000000000000001E-2"/>
    <m/>
    <x v="0"/>
    <m/>
  </r>
  <r>
    <x v="0"/>
    <s v="增长率类"/>
    <s v="opg_q"/>
    <n v="4.1000000000000002E-2"/>
    <m/>
    <x v="2"/>
    <m/>
  </r>
  <r>
    <x v="0"/>
    <s v="增长率类"/>
    <s v="opg_ttm"/>
    <n v="2.3E-2"/>
    <m/>
    <x v="2"/>
    <m/>
  </r>
  <r>
    <x v="0"/>
    <s v="增长率类"/>
    <s v="org_ttm"/>
    <n v="2.5999999999999999E-2"/>
    <m/>
    <x v="2"/>
    <m/>
  </r>
  <r>
    <x v="1"/>
    <s v="value_bv"/>
    <s v="b2p"/>
    <n v="4.5999999999999999E-2"/>
    <n v="6.9000000000000006E-2"/>
    <x v="1"/>
    <s v="根据最近20天的b2p相关性，增加相关性高部分的分数，降低相关性低的分数。换手率大幅提高"/>
  </r>
  <r>
    <x v="1"/>
    <s v="value_bv"/>
    <s v="con_pb_roll"/>
    <n v="5.0999999999999997E-2"/>
    <m/>
    <x v="0"/>
    <m/>
  </r>
  <r>
    <x v="1"/>
    <s v="value_bv"/>
    <s v="con_ps_roll"/>
    <n v="2.5999999999999999E-2"/>
    <m/>
    <x v="0"/>
    <m/>
  </r>
  <r>
    <x v="1"/>
    <s v="value_bv"/>
    <s v="nb2p"/>
    <n v="3.5000000000000003E-2"/>
    <m/>
    <x v="0"/>
    <m/>
  </r>
  <r>
    <x v="1"/>
    <s v="value_bv"/>
    <s v="nsale2ev"/>
    <n v="2.9000000000000001E-2"/>
    <m/>
    <x v="0"/>
    <m/>
  </r>
  <r>
    <x v="1"/>
    <s v="value_bv"/>
    <s v="s12ev"/>
    <n v="2.4E-2"/>
    <n v="5.2999999999999999E-2"/>
    <x v="1"/>
    <s v="根据最近20天的b2p相关性，增加相关性高部分的分数，降低相关性低的分数。换手率大幅提高"/>
  </r>
  <r>
    <x v="1"/>
    <s v="value_bv"/>
    <s v="s23ev"/>
    <n v="2.5999999999999999E-2"/>
    <m/>
    <x v="0"/>
    <m/>
  </r>
  <r>
    <x v="1"/>
    <s v="value_bv"/>
    <s v="sale2ev"/>
    <n v="2.9000000000000001E-2"/>
    <n v="0.06"/>
    <x v="1"/>
    <s v="根据最近20天的b2p相关性，增加相关性高部分的分数，降低相关性低的分数。换手率大幅提高"/>
  </r>
  <r>
    <x v="1"/>
    <s v="value_bv"/>
    <s v="sale2p"/>
    <n v="2.7E-2"/>
    <m/>
    <x v="0"/>
    <m/>
  </r>
  <r>
    <x v="1"/>
    <s v="value_bv"/>
    <s v="ta2ev"/>
    <n v="3.9E-2"/>
    <m/>
    <x v="0"/>
    <m/>
  </r>
  <r>
    <x v="1"/>
    <s v="value_cf"/>
    <s v="aeb2ev"/>
    <n v="2.9000000000000001E-2"/>
    <m/>
    <x v="0"/>
    <m/>
  </r>
  <r>
    <x v="1"/>
    <s v="value_cf"/>
    <s v="cfo2ev"/>
    <n v="3.6999999999999998E-2"/>
    <m/>
    <x v="0"/>
    <m/>
  </r>
  <r>
    <x v="1"/>
    <s v="value_cf"/>
    <s v="cfo2p"/>
    <n v="3.1E-2"/>
    <m/>
    <x v="0"/>
    <m/>
  </r>
  <r>
    <x v="1"/>
    <s v="value_dvd"/>
    <s v="d2p"/>
    <n v="4.2000000000000003E-2"/>
    <m/>
    <x v="0"/>
    <m/>
  </r>
  <r>
    <x v="1"/>
    <s v="value_pe"/>
    <s v="con_pe_roll"/>
    <n v="5.8000000000000003E-2"/>
    <m/>
    <x v="0"/>
    <m/>
  </r>
  <r>
    <x v="1"/>
    <s v="value_pe"/>
    <s v="e2p"/>
    <n v="5.2999999999999999E-2"/>
    <m/>
    <x v="0"/>
    <m/>
  </r>
  <r>
    <x v="1"/>
    <s v="value_pe"/>
    <s v="fy12p"/>
    <n v="5.8000000000000003E-2"/>
    <m/>
    <x v="0"/>
    <m/>
  </r>
  <r>
    <x v="1"/>
    <s v="value_pe"/>
    <s v="fy23p"/>
    <n v="5.8000000000000003E-2"/>
    <m/>
    <x v="0"/>
    <m/>
  </r>
  <r>
    <x v="1"/>
    <s v="value_pe"/>
    <s v="ke2p"/>
    <n v="5.0999999999999997E-2"/>
    <m/>
    <x v="0"/>
    <m/>
  </r>
  <r>
    <x v="1"/>
    <s v="value_pe"/>
    <s v="ne2p"/>
    <n v="5.8000000000000003E-2"/>
    <m/>
    <x v="1"/>
    <s v="使用预告和快报的数据表现更好"/>
  </r>
  <r>
    <x v="2"/>
    <s v="波动率"/>
    <s v="ivo_ff12m"/>
    <n v="6.4000000000000001E-2"/>
    <m/>
    <x v="2"/>
    <s v="换手率低，使用于构建月度以上"/>
  </r>
  <r>
    <x v="2"/>
    <s v="波动率"/>
    <s v="ivo_ff1m"/>
    <n v="9.1999999999999998E-2"/>
    <m/>
    <x v="0"/>
    <m/>
  </r>
  <r>
    <x v="2"/>
    <s v="波动率"/>
    <s v="ivr_ff12m"/>
    <n v="5.5E-2"/>
    <m/>
    <x v="2"/>
    <s v="换手率低，使用于构建月度以上"/>
  </r>
  <r>
    <x v="2"/>
    <s v="波动率"/>
    <s v="ivr_ff1m"/>
    <n v="0.08"/>
    <m/>
    <x v="0"/>
    <m/>
  </r>
  <r>
    <x v="2"/>
    <s v="波动率"/>
    <s v="volatility_12m"/>
    <n v="6.0999999999999999E-2"/>
    <n v="6.0999999999999999E-2"/>
    <x v="1"/>
    <s v="真实收益率的收益率更高，IR更高"/>
  </r>
  <r>
    <x v="2"/>
    <s v="波动率"/>
    <s v="volatility_1m"/>
    <n v="7.0000000000000007E-2"/>
    <n v="7.5999999999999998E-2"/>
    <x v="1"/>
    <s v="真实收益率的收益率更高，IR更高"/>
  </r>
  <r>
    <x v="2"/>
    <s v="动量"/>
    <s v="cthl12m"/>
    <n v="0.02"/>
    <m/>
    <x v="2"/>
    <s v="隔日动量，根据高开/低开，计算当日收益"/>
  </r>
  <r>
    <x v="2"/>
    <s v="动量"/>
    <s v="cthl6m"/>
    <n v="2.1999999999999999E-2"/>
    <m/>
    <x v="2"/>
    <s v="隔日动量，根据高开/低开，计算当日收益"/>
  </r>
  <r>
    <x v="2"/>
    <s v="动量"/>
    <s v="cto12m"/>
    <n v="2.1999999999999999E-2"/>
    <m/>
    <x v="2"/>
    <s v="隔日动量"/>
  </r>
  <r>
    <x v="2"/>
    <s v="动量"/>
    <s v="cto6m"/>
    <n v="2.3E-2"/>
    <m/>
    <x v="2"/>
    <s v="隔日动量"/>
  </r>
  <r>
    <x v="2"/>
    <s v="动量"/>
    <s v="demom10"/>
    <n v="-3.0000000000000001E-3"/>
    <n v="0.02"/>
    <x v="1"/>
    <s v="drmom9m，采用收益率和正收益率胜率双排序"/>
  </r>
  <r>
    <x v="2"/>
    <s v="动量"/>
    <s v="demom7"/>
    <n v="-2E-3"/>
    <n v="2.1000000000000001E-2"/>
    <x v="1"/>
    <s v="drmom7m，采用收益率和正收益率胜率双排序"/>
  </r>
  <r>
    <x v="2"/>
    <s v="动量"/>
    <s v="maxret33"/>
    <n v="6.4000000000000001E-2"/>
    <m/>
    <x v="2"/>
    <s v="最近3个月收益率最高3天的均值"/>
  </r>
  <r>
    <x v="2"/>
    <s v="动量"/>
    <s v="maxret66"/>
    <n v="5.7000000000000002E-2"/>
    <m/>
    <x v="2"/>
    <s v="最近6个月收益率最高6天的均值"/>
  </r>
  <r>
    <x v="2"/>
    <s v="动量"/>
    <s v="momentum"/>
    <n v="3.0000000000000001E-3"/>
    <m/>
    <x v="0"/>
    <s v="风险模型动量"/>
  </r>
  <r>
    <x v="2"/>
    <s v="动量"/>
    <s v="momentum_t12"/>
    <n v="6.0000000000000001E-3"/>
    <m/>
    <x v="0"/>
    <m/>
  </r>
  <r>
    <x v="2"/>
    <s v="反转"/>
    <s v="pairs"/>
    <n v="4.1000000000000002E-2"/>
    <m/>
    <x v="0"/>
    <m/>
  </r>
  <r>
    <x v="2"/>
    <s v="反转"/>
    <s v="revs"/>
    <n v="7.4999999999999997E-2"/>
    <n v="7.1999999999999995E-2"/>
    <x v="1"/>
    <s v="使用每笔成交金额金额分割，构建因子。IC稍有下降，但IR大幅提高。从2.51变为4.5。"/>
  </r>
  <r>
    <x v="2"/>
    <s v="反转"/>
    <s v="spb"/>
    <n v="7.1999999999999995E-2"/>
    <m/>
    <x v="0"/>
    <m/>
  </r>
  <r>
    <x v="2"/>
    <s v="价值反转"/>
    <s v="rcon_peg_roll"/>
    <n v="4.2000000000000003E-2"/>
    <m/>
    <x v="0"/>
    <s v="结合财务数据和价格变化"/>
  </r>
  <r>
    <x v="2"/>
    <s v="价值反转"/>
    <s v="rfy12p"/>
    <n v="5.8999999999999997E-2"/>
    <m/>
    <x v="0"/>
    <s v="结合财务数据和价格变化"/>
  </r>
  <r>
    <x v="2"/>
    <s v="价值反转"/>
    <s v="rpegs"/>
    <n v="4.1000000000000002E-2"/>
    <m/>
    <x v="0"/>
    <s v="结合财务数据和价格变化"/>
  </r>
  <r>
    <x v="2"/>
    <s v="流动性"/>
    <s v="davol"/>
    <n v="4.7E-2"/>
    <m/>
    <x v="0"/>
    <m/>
  </r>
  <r>
    <x v="2"/>
    <s v="流动性"/>
    <s v="illiq"/>
    <n v="6.0999999999999999E-2"/>
    <m/>
    <x v="0"/>
    <s v="非流动性因子"/>
  </r>
  <r>
    <x v="2"/>
    <s v="流动性"/>
    <s v="liquidty"/>
    <n v="0.08"/>
    <m/>
    <x v="0"/>
    <s v="0.35 · STOM + 0.35 · STOQ + 0.30 · STOA"/>
  </r>
  <r>
    <x v="2"/>
    <s v="流动性"/>
    <s v="vol"/>
    <n v="9.4E-2"/>
    <m/>
    <x v="1"/>
    <s v="自由流通股本换手率"/>
  </r>
  <r>
    <x v="3"/>
    <s v="cov"/>
    <s v="cvg_og3"/>
    <n v="4.6100000000000002E-2"/>
    <n v="4.6699999999999998E-2"/>
    <x v="1"/>
    <s v="同一机构不同日期算多次"/>
  </r>
  <r>
    <x v="3"/>
    <s v="dispersion"/>
    <s v="eps_variability2"/>
    <n v="1.9E-2"/>
    <m/>
    <x v="0"/>
    <m/>
  </r>
  <r>
    <x v="3"/>
    <s v="drec"/>
    <s v="darec_100_60"/>
    <n v="1.7000000000000001E-2"/>
    <n v="1.7000000000000001E-2"/>
    <x v="1"/>
    <s v="原先darec和darec_l相关性高，用此因子替代。对不同回看期和半衰期的数据进行枚举，根据长、中、短回看期和彼此之间的相关系数，选择因子"/>
  </r>
  <r>
    <x v="3"/>
    <s v="drec"/>
    <s v="darec_20_10"/>
    <n v="4.0000000000000001E-3"/>
    <n v="4.0000000000000001E-3"/>
    <x v="1"/>
    <s v="替代darecs"/>
  </r>
  <r>
    <x v="3"/>
    <s v="drec"/>
    <s v="recud_180_30"/>
    <n v="2.1000000000000001E-2"/>
    <n v="2.1000000000000001E-2"/>
    <x v="1"/>
    <s v="替代recud和recud_l"/>
  </r>
  <r>
    <x v="3"/>
    <s v="drec"/>
    <s v="recud_20_10"/>
    <n v="1.6E-2"/>
    <n v="1.6E-2"/>
    <x v="1"/>
    <s v="替代recud_s"/>
  </r>
  <r>
    <x v="3"/>
    <s v="drev"/>
    <s v="darev_120_60"/>
    <n v="3.4000000000000002E-2"/>
    <n v="3.4000000000000002E-2"/>
    <x v="1"/>
    <s v="替代darev_l"/>
  </r>
  <r>
    <x v="3"/>
    <s v="drev"/>
    <s v="darev_40_10"/>
    <n v="3.1E-2"/>
    <n v="3.1E-2"/>
    <x v="1"/>
    <s v="替代darev_s"/>
  </r>
  <r>
    <x v="3"/>
    <s v="drev"/>
    <s v="darev_60_20"/>
    <n v="3.5000000000000003E-2"/>
    <n v="3.5000000000000003E-2"/>
    <x v="1"/>
    <s v="替代darev"/>
  </r>
  <r>
    <x v="3"/>
    <s v="drev"/>
    <s v="grev3"/>
    <n v="2.7E-2"/>
    <m/>
    <x v="0"/>
    <m/>
  </r>
  <r>
    <x v="3"/>
    <s v="drev"/>
    <s v="rev12"/>
    <n v="1.4E-2"/>
    <m/>
    <x v="0"/>
    <m/>
  </r>
  <r>
    <x v="3"/>
    <s v="drev"/>
    <s v="revudsratio"/>
    <n v="3.4000000000000002E-2"/>
    <m/>
    <x v="0"/>
    <m/>
  </r>
  <r>
    <x v="3"/>
    <s v="rec"/>
    <s v="brkgs"/>
    <s v="NA"/>
    <m/>
    <x v="0"/>
    <m/>
  </r>
  <r>
    <x v="3"/>
    <s v="rec"/>
    <s v="intretp"/>
    <s v="NA"/>
    <m/>
    <x v="0"/>
    <m/>
  </r>
  <r>
    <x v="3"/>
    <s v="rec"/>
    <s v="rec2"/>
    <n v="2.8000000000000001E-2"/>
    <m/>
    <x v="0"/>
    <m/>
  </r>
  <r>
    <x v="3"/>
    <s v="revud"/>
    <s v="revud_120_60"/>
    <n v="1.2E-2"/>
    <m/>
    <x v="1"/>
    <s v="替代revud"/>
  </r>
  <r>
    <x v="3"/>
    <s v="revud"/>
    <s v="revuds_120_60"/>
    <n v="4.2000000000000003E-2"/>
    <m/>
    <x v="1"/>
    <s v="替代revuds_l"/>
  </r>
  <r>
    <x v="3"/>
    <s v="revud"/>
    <s v="revuds_40_10"/>
    <n v="3.2000000000000001E-2"/>
    <m/>
    <x v="1"/>
    <s v="替代revuds_s"/>
  </r>
  <r>
    <x v="3"/>
    <s v="revud"/>
    <s v="revuds_60_20"/>
    <n v="4.2999999999999997E-2"/>
    <m/>
    <x v="1"/>
    <s v="替代revuds"/>
  </r>
  <r>
    <x v="4"/>
    <s v="quality_cashflow"/>
    <s v="abaccall"/>
    <n v="7.0000000000000001E-3"/>
    <m/>
    <x v="0"/>
    <m/>
  </r>
  <r>
    <x v="4"/>
    <s v="quality_cashflow"/>
    <s v="acca"/>
    <n v="8.0000000000000002E-3"/>
    <m/>
    <x v="0"/>
    <m/>
  </r>
  <r>
    <x v="4"/>
    <s v="quality_cashflow"/>
    <s v="ccr"/>
    <n v="2.1000000000000001E-2"/>
    <m/>
    <x v="2"/>
    <s v="表现较好且稳定"/>
  </r>
  <r>
    <x v="4"/>
    <s v="quality_cashflow"/>
    <s v="depad"/>
    <n v="2.1000000000000001E-2"/>
    <m/>
    <x v="0"/>
    <m/>
  </r>
  <r>
    <x v="4"/>
    <s v="quality_cashflow"/>
    <s v="fcf"/>
    <n v="1.4999999999999999E-2"/>
    <m/>
    <x v="0"/>
    <m/>
  </r>
  <r>
    <x v="4"/>
    <s v="quality_cashflow"/>
    <s v="ocf2ta"/>
    <n v="2.4E-2"/>
    <m/>
    <x v="0"/>
    <m/>
  </r>
  <r>
    <x v="4"/>
    <s v="quality_cashflow"/>
    <s v="pio"/>
    <n v="2.7E-2"/>
    <m/>
    <x v="0"/>
    <m/>
  </r>
  <r>
    <x v="4"/>
    <s v="quality_manage"/>
    <s v="mgincome"/>
    <n v="3.5000000000000003E-2"/>
    <m/>
    <x v="0"/>
    <m/>
  </r>
  <r>
    <x v="4"/>
    <s v="quality_profit"/>
    <s v="dygpoa"/>
    <n v="1.6E-2"/>
    <m/>
    <x v="1"/>
    <s v="ttm改为季度"/>
  </r>
  <r>
    <x v="4"/>
    <s v="quality_profit"/>
    <s v="gpm_q"/>
    <n v="0.02"/>
    <m/>
    <x v="0"/>
    <m/>
  </r>
  <r>
    <x v="4"/>
    <s v="quality_profit"/>
    <s v="knp2np_q"/>
    <n v="2.3E-2"/>
    <m/>
    <x v="0"/>
    <m/>
  </r>
  <r>
    <x v="4"/>
    <s v="quality_profit"/>
    <s v="roa"/>
    <n v="2.8000000000000001E-2"/>
    <m/>
    <x v="0"/>
    <m/>
  </r>
  <r>
    <x v="4"/>
    <s v="quality_profit"/>
    <s v="roa_q"/>
    <n v="4.2999999999999997E-2"/>
    <m/>
    <x v="0"/>
    <m/>
  </r>
  <r>
    <x v="4"/>
    <s v="quality_profit"/>
    <s v="roe"/>
    <n v="3.2000000000000001E-2"/>
    <m/>
    <x v="0"/>
    <m/>
  </r>
  <r>
    <x v="4"/>
    <s v="quality_profit"/>
    <s v="roe_q"/>
    <n v="4.9000000000000002E-2"/>
    <m/>
    <x v="0"/>
    <m/>
  </r>
  <r>
    <x v="4"/>
    <s v="quality_profit"/>
    <s v="roic"/>
    <n v="3.4000000000000002E-2"/>
    <m/>
    <x v="2"/>
    <m/>
  </r>
  <r>
    <x v="4"/>
    <s v="quality_profit"/>
    <s v="sugm"/>
    <n v="1.8499999999999999E-2"/>
    <n v="2.12E-2"/>
    <x v="1"/>
    <s v="参数从16调整为8"/>
  </r>
  <r>
    <x v="4"/>
    <s v="quality_safety"/>
    <s v="bab"/>
    <n v="4.1000000000000002E-2"/>
    <m/>
    <x v="0"/>
    <m/>
  </r>
  <r>
    <x v="4"/>
    <s v="quality_safety"/>
    <s v="evol"/>
    <n v="1.4E-2"/>
    <m/>
    <x v="0"/>
    <m/>
  </r>
  <r>
    <x v="4"/>
    <s v="quality_safety"/>
    <s v="lev"/>
    <n v="0.01"/>
    <m/>
    <x v="0"/>
    <m/>
  </r>
  <r>
    <x v="4"/>
    <s v="quality_safety"/>
    <s v="o"/>
    <n v="2.8000000000000001E-2"/>
    <m/>
    <x v="0"/>
    <m/>
  </r>
  <r>
    <x v="5"/>
    <m/>
    <m/>
    <m/>
    <m/>
    <x v="3"/>
    <m/>
  </r>
  <r>
    <x v="5"/>
    <m/>
    <m/>
    <m/>
    <m/>
    <x v="3"/>
    <m/>
  </r>
  <r>
    <x v="5"/>
    <m/>
    <m/>
    <m/>
    <m/>
    <x v="3"/>
    <m/>
  </r>
  <r>
    <x v="5"/>
    <m/>
    <m/>
    <m/>
    <m/>
    <x v="3"/>
    <m/>
  </r>
  <r>
    <x v="5"/>
    <m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25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I8:L27" firstHeaderRow="0" firstDataRow="1" firstDataCol="1"/>
  <pivotFields count="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dataField="1" numFmtId="10" showAll="0"/>
    <pivotField dataField="1"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2">
    <field x="5"/>
    <field x="0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2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计数项:信号" fld="2" subtotal="count" baseField="0" baseItem="0"/>
    <dataField name="平均值项:原始IC" fld="3" subtotal="average" baseField="5" baseItem="0" numFmtId="10"/>
    <dataField name="平均值项:优化后IC" fld="4" subtotal="average" baseField="5" baseItem="0" numFmtId="10"/>
  </dataFields>
  <formats count="4">
    <format dxfId="3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2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0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24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I1:L6" firstHeaderRow="0" firstDataRow="1" firstDataCol="1"/>
  <pivotFields count="7">
    <pivotField showAll="0"/>
    <pivotField showAll="0"/>
    <pivotField dataField="1" showAll="0"/>
    <pivotField dataField="1" showAll="0">
      <items count="60">
        <item x="36"/>
        <item x="37"/>
        <item x="39"/>
        <item x="48"/>
        <item x="40"/>
        <item x="53"/>
        <item x="54"/>
        <item x="57"/>
        <item x="51"/>
        <item x="8"/>
        <item x="55"/>
        <item x="5"/>
        <item x="47"/>
        <item x="12"/>
        <item x="56"/>
        <item x="20"/>
        <item x="11"/>
        <item x="49"/>
        <item x="13"/>
        <item x="24"/>
        <item x="2"/>
        <item x="22"/>
        <item x="14"/>
        <item x="9"/>
        <item x="0"/>
        <item x="19"/>
        <item x="18"/>
        <item x="1"/>
        <item x="16"/>
        <item x="4"/>
        <item x="10"/>
        <item x="17"/>
        <item x="3"/>
        <item x="7"/>
        <item x="6"/>
        <item x="23"/>
        <item x="27"/>
        <item x="52"/>
        <item x="15"/>
        <item x="25"/>
        <item x="46"/>
        <item x="44"/>
        <item x="21"/>
        <item x="26"/>
        <item x="29"/>
        <item x="32"/>
        <item x="38"/>
        <item x="28"/>
        <item x="43"/>
        <item x="34"/>
        <item x="30"/>
        <item x="35"/>
        <item x="42"/>
        <item x="41"/>
        <item x="33"/>
        <item x="31"/>
        <item x="45"/>
        <item x="50"/>
        <item x="58"/>
        <item t="default"/>
      </items>
    </pivotField>
    <pivotField dataField="1" showAll="0">
      <items count="23">
        <item x="17"/>
        <item x="18"/>
        <item x="16"/>
        <item x="12"/>
        <item x="13"/>
        <item x="21"/>
        <item x="20"/>
        <item x="19"/>
        <item x="5"/>
        <item x="2"/>
        <item x="6"/>
        <item x="3"/>
        <item x="15"/>
        <item x="1"/>
        <item x="4"/>
        <item x="8"/>
        <item x="9"/>
        <item x="10"/>
        <item x="7"/>
        <item x="14"/>
        <item x="11"/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计数项:信号" fld="2" subtotal="count" baseField="0" baseItem="0"/>
    <dataField name="平均值项:原始IC" fld="3" subtotal="average" baseField="5" baseItem="0" numFmtId="10"/>
    <dataField name="平均值项:优化后IC" fld="4" subtotal="average" baseField="5" baseItem="0" numFmtId="10"/>
  </dataFields>
  <formats count="7">
    <format dxfId="10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9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8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4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372"/>
  <sheetViews>
    <sheetView workbookViewId="0">
      <pane xSplit="1" ySplit="1" topLeftCell="B17" activePane="bottomRight" state="frozenSplit"/>
      <selection pane="topRight" activeCell="B1" sqref="B1"/>
      <selection pane="bottomLeft" activeCell="A2" sqref="A2"/>
      <selection pane="bottomRight" activeCell="D42" sqref="D42"/>
    </sheetView>
  </sheetViews>
  <sheetFormatPr defaultRowHeight="14.25"/>
  <cols>
    <col min="2" max="2" width="9.375" style="9" customWidth="1"/>
    <col min="3" max="3" width="16" customWidth="1"/>
    <col min="4" max="4" width="78.75" customWidth="1"/>
    <col min="5" max="5" width="15.75" customWidth="1"/>
    <col min="6" max="6" width="12.125" customWidth="1"/>
    <col min="7" max="7" width="12.5" customWidth="1"/>
    <col min="8" max="8" width="10" customWidth="1"/>
    <col min="9" max="9" width="11.75" customWidth="1"/>
    <col min="10" max="10" width="29" customWidth="1"/>
    <col min="11" max="11" width="10.5" customWidth="1"/>
    <col min="12" max="12" width="14" customWidth="1"/>
  </cols>
  <sheetData>
    <row r="1" spans="1:12" s="9" customFormat="1">
      <c r="A1" s="7" t="s">
        <v>8</v>
      </c>
      <c r="B1" s="7" t="s">
        <v>9</v>
      </c>
      <c r="C1" s="11" t="s">
        <v>0</v>
      </c>
      <c r="D1" s="11" t="s">
        <v>650</v>
      </c>
      <c r="E1" s="12" t="s">
        <v>32</v>
      </c>
      <c r="F1" s="12" t="s">
        <v>653</v>
      </c>
      <c r="G1" s="12" t="s">
        <v>648</v>
      </c>
      <c r="H1" s="12" t="s">
        <v>649</v>
      </c>
      <c r="I1" s="12" t="s">
        <v>651</v>
      </c>
      <c r="J1" s="13" t="s">
        <v>701</v>
      </c>
      <c r="K1" s="12" t="s">
        <v>1</v>
      </c>
      <c r="L1" s="13" t="s">
        <v>2</v>
      </c>
    </row>
    <row r="2" spans="1:12">
      <c r="A2" s="3" t="s">
        <v>19</v>
      </c>
      <c r="B2" s="8"/>
      <c r="C2" s="1" t="s">
        <v>34</v>
      </c>
      <c r="D2" s="2" t="s">
        <v>35</v>
      </c>
      <c r="E2" s="2" t="s">
        <v>29</v>
      </c>
      <c r="F2" s="2"/>
      <c r="G2" s="2"/>
      <c r="H2" s="2"/>
      <c r="I2" s="2"/>
      <c r="J2" s="2"/>
      <c r="K2" s="2"/>
      <c r="L2" s="3"/>
    </row>
    <row r="3" spans="1:12">
      <c r="A3" s="3" t="s">
        <v>19</v>
      </c>
      <c r="B3" s="8"/>
      <c r="C3" s="1" t="s">
        <v>36</v>
      </c>
      <c r="D3" s="2" t="s">
        <v>37</v>
      </c>
      <c r="E3" s="2" t="s">
        <v>30</v>
      </c>
      <c r="F3" s="6" t="s">
        <v>655</v>
      </c>
      <c r="G3" s="2"/>
      <c r="H3" s="2"/>
      <c r="I3" s="2"/>
      <c r="J3" s="2"/>
      <c r="K3" s="2"/>
      <c r="L3" s="3"/>
    </row>
    <row r="4" spans="1:12">
      <c r="A4" s="3" t="s">
        <v>19</v>
      </c>
      <c r="B4" s="8"/>
      <c r="C4" s="1" t="s">
        <v>38</v>
      </c>
      <c r="D4" s="2" t="s">
        <v>39</v>
      </c>
      <c r="E4" s="2" t="s">
        <v>31</v>
      </c>
      <c r="F4" s="2"/>
      <c r="G4" s="2"/>
      <c r="H4" s="2"/>
      <c r="I4" s="2"/>
      <c r="J4" s="2"/>
      <c r="K4" s="2"/>
      <c r="L4" s="3"/>
    </row>
    <row r="5" spans="1:12">
      <c r="A5" s="3" t="s">
        <v>19</v>
      </c>
      <c r="B5" s="8"/>
      <c r="C5" s="1" t="s">
        <v>531</v>
      </c>
      <c r="D5" s="2" t="s">
        <v>530</v>
      </c>
      <c r="E5" s="2" t="s">
        <v>532</v>
      </c>
      <c r="F5" s="2"/>
      <c r="G5" s="2"/>
      <c r="H5" s="2"/>
      <c r="I5" s="2"/>
      <c r="J5" s="2"/>
      <c r="K5" s="2"/>
      <c r="L5" s="3"/>
    </row>
    <row r="6" spans="1:12" ht="28.5">
      <c r="A6" s="3" t="s">
        <v>19</v>
      </c>
      <c r="B6" s="8"/>
      <c r="C6" s="1" t="s">
        <v>533</v>
      </c>
      <c r="D6" s="2" t="s">
        <v>40</v>
      </c>
      <c r="E6" s="2" t="s">
        <v>532</v>
      </c>
      <c r="F6" s="2"/>
      <c r="G6" s="2"/>
      <c r="H6" s="2"/>
      <c r="I6" s="2"/>
      <c r="J6" s="2"/>
      <c r="K6" s="2"/>
      <c r="L6" s="3"/>
    </row>
    <row r="7" spans="1:12">
      <c r="A7" s="3" t="s">
        <v>19</v>
      </c>
      <c r="B7" s="8"/>
      <c r="C7" s="1" t="s">
        <v>534</v>
      </c>
      <c r="D7" s="2" t="s">
        <v>41</v>
      </c>
      <c r="E7" s="2" t="s">
        <v>532</v>
      </c>
      <c r="F7" s="2"/>
      <c r="G7" s="2"/>
      <c r="H7" s="2"/>
      <c r="I7" s="2"/>
      <c r="J7" s="2"/>
      <c r="K7" s="2"/>
      <c r="L7" s="3"/>
    </row>
    <row r="8" spans="1:12">
      <c r="A8" s="3" t="s">
        <v>19</v>
      </c>
      <c r="B8" s="8"/>
      <c r="C8" s="1" t="s">
        <v>535</v>
      </c>
      <c r="D8" s="2" t="s">
        <v>42</v>
      </c>
      <c r="E8" s="2" t="s">
        <v>532</v>
      </c>
      <c r="F8" s="2"/>
      <c r="G8" s="2"/>
      <c r="H8" s="2"/>
      <c r="I8" s="2"/>
      <c r="J8" s="2"/>
      <c r="K8" s="2"/>
      <c r="L8" s="3"/>
    </row>
    <row r="9" spans="1:12">
      <c r="A9" s="3" t="s">
        <v>19</v>
      </c>
      <c r="B9" s="8"/>
      <c r="C9" s="1" t="s">
        <v>43</v>
      </c>
      <c r="D9" s="6" t="s">
        <v>537</v>
      </c>
      <c r="E9" s="2" t="s">
        <v>536</v>
      </c>
      <c r="F9" s="2"/>
      <c r="G9" s="2"/>
      <c r="H9" s="2"/>
      <c r="I9" s="2"/>
      <c r="J9" s="2"/>
      <c r="K9" s="2"/>
      <c r="L9" s="3"/>
    </row>
    <row r="10" spans="1:12">
      <c r="A10" s="3" t="s">
        <v>19</v>
      </c>
      <c r="B10" s="8"/>
      <c r="C10" s="1" t="s">
        <v>44</v>
      </c>
      <c r="D10" s="2" t="s">
        <v>538</v>
      </c>
      <c r="E10" s="2" t="s">
        <v>539</v>
      </c>
      <c r="F10" s="2"/>
      <c r="G10" s="2"/>
      <c r="H10" s="2"/>
      <c r="I10" s="2"/>
      <c r="J10" s="2"/>
      <c r="K10" s="2"/>
      <c r="L10" s="3"/>
    </row>
    <row r="11" spans="1:12" ht="28.5">
      <c r="A11" s="3" t="s">
        <v>19</v>
      </c>
      <c r="B11" s="8"/>
      <c r="C11" s="1" t="s">
        <v>642</v>
      </c>
      <c r="D11" s="2" t="s">
        <v>632</v>
      </c>
      <c r="E11" s="2" t="s">
        <v>631</v>
      </c>
      <c r="F11" s="2"/>
      <c r="G11" s="2" t="s">
        <v>652</v>
      </c>
      <c r="H11" s="2"/>
      <c r="I11" s="2"/>
      <c r="J11" s="2"/>
      <c r="K11" s="2"/>
      <c r="L11" s="3"/>
    </row>
    <row r="12" spans="1:12" ht="25.5">
      <c r="A12" s="3" t="s">
        <v>19</v>
      </c>
      <c r="B12" s="8"/>
      <c r="C12" s="1" t="s">
        <v>45</v>
      </c>
      <c r="D12" s="6" t="s">
        <v>540</v>
      </c>
      <c r="E12" s="2" t="s">
        <v>542</v>
      </c>
      <c r="F12" s="2"/>
      <c r="G12" s="2"/>
      <c r="H12" s="2"/>
      <c r="I12" s="2"/>
      <c r="J12" s="2"/>
      <c r="K12" s="2"/>
      <c r="L12" s="3"/>
    </row>
    <row r="13" spans="1:12">
      <c r="A13" s="3" t="s">
        <v>19</v>
      </c>
      <c r="B13" s="8"/>
      <c r="C13" s="1" t="s">
        <v>46</v>
      </c>
      <c r="D13" s="2" t="s">
        <v>541</v>
      </c>
      <c r="E13" s="2" t="s">
        <v>543</v>
      </c>
      <c r="F13" s="6" t="s">
        <v>655</v>
      </c>
      <c r="G13" s="2"/>
      <c r="H13" s="2"/>
      <c r="I13" s="2"/>
      <c r="J13" s="2"/>
      <c r="K13" s="2"/>
      <c r="L13" s="3"/>
    </row>
    <row r="14" spans="1:12" ht="28.5">
      <c r="A14" s="3" t="s">
        <v>19</v>
      </c>
      <c r="B14" s="8"/>
      <c r="C14" s="1" t="s">
        <v>729</v>
      </c>
      <c r="D14" s="2" t="s">
        <v>638</v>
      </c>
      <c r="E14" s="2" t="s">
        <v>631</v>
      </c>
      <c r="F14" s="2"/>
      <c r="G14" s="2"/>
      <c r="H14" s="2"/>
      <c r="I14" s="2"/>
      <c r="J14" s="2"/>
      <c r="K14" s="2"/>
      <c r="L14" s="3"/>
    </row>
    <row r="15" spans="1:12">
      <c r="A15" s="3" t="s">
        <v>19</v>
      </c>
      <c r="B15" s="8"/>
      <c r="C15" s="1" t="s">
        <v>47</v>
      </c>
      <c r="D15" s="2" t="s">
        <v>544</v>
      </c>
      <c r="E15" s="2" t="s">
        <v>545</v>
      </c>
      <c r="F15" s="6" t="s">
        <v>655</v>
      </c>
      <c r="G15" s="2"/>
      <c r="H15" s="2"/>
      <c r="I15" s="2"/>
      <c r="J15" s="2"/>
      <c r="K15" s="2"/>
      <c r="L15" s="3"/>
    </row>
    <row r="16" spans="1:12">
      <c r="A16" s="3" t="s">
        <v>19</v>
      </c>
      <c r="B16" s="8"/>
      <c r="C16" s="1" t="s">
        <v>48</v>
      </c>
      <c r="D16" s="2" t="s">
        <v>546</v>
      </c>
      <c r="E16" s="2" t="s">
        <v>547</v>
      </c>
      <c r="F16" s="2"/>
      <c r="G16" s="2"/>
      <c r="H16" s="2"/>
      <c r="I16" s="2"/>
      <c r="J16" s="2"/>
      <c r="K16" s="2"/>
      <c r="L16" s="3"/>
    </row>
    <row r="17" spans="1:12">
      <c r="A17" s="3" t="s">
        <v>19</v>
      </c>
      <c r="B17" s="8"/>
      <c r="C17" s="1" t="s">
        <v>33</v>
      </c>
      <c r="D17" s="2" t="s">
        <v>548</v>
      </c>
      <c r="E17" s="2" t="s">
        <v>549</v>
      </c>
      <c r="F17" s="2"/>
      <c r="G17" s="2"/>
      <c r="H17" s="2"/>
      <c r="I17" s="2"/>
      <c r="J17" s="2"/>
      <c r="K17" s="2"/>
      <c r="L17" s="3"/>
    </row>
    <row r="18" spans="1:12">
      <c r="A18" s="3" t="s">
        <v>19</v>
      </c>
      <c r="B18" s="8"/>
      <c r="C18" s="1" t="s">
        <v>550</v>
      </c>
      <c r="D18" s="6" t="s">
        <v>551</v>
      </c>
      <c r="E18" s="2" t="s">
        <v>550</v>
      </c>
      <c r="F18" s="2"/>
      <c r="G18" s="2"/>
      <c r="H18" s="2"/>
      <c r="I18" s="2"/>
      <c r="J18" s="2"/>
      <c r="K18" s="2"/>
      <c r="L18" s="3"/>
    </row>
    <row r="19" spans="1:12">
      <c r="A19" s="3" t="s">
        <v>19</v>
      </c>
      <c r="B19" s="8"/>
      <c r="C19" s="1" t="s">
        <v>523</v>
      </c>
      <c r="D19" s="2" t="s">
        <v>554</v>
      </c>
      <c r="E19" s="2" t="s">
        <v>555</v>
      </c>
      <c r="F19" s="2"/>
      <c r="G19" s="2"/>
      <c r="H19" s="2"/>
      <c r="I19" s="2"/>
      <c r="J19" s="2"/>
      <c r="K19" s="2"/>
      <c r="L19" s="3"/>
    </row>
    <row r="20" spans="1:12">
      <c r="A20" s="3" t="s">
        <v>19</v>
      </c>
      <c r="B20" s="8"/>
      <c r="C20" s="1" t="s">
        <v>524</v>
      </c>
      <c r="D20" s="2" t="s">
        <v>525</v>
      </c>
      <c r="E20" s="2" t="s">
        <v>556</v>
      </c>
      <c r="F20" s="6" t="s">
        <v>655</v>
      </c>
      <c r="G20" s="2"/>
      <c r="H20" s="2"/>
      <c r="I20" s="2"/>
      <c r="J20" s="2"/>
      <c r="K20" s="2"/>
      <c r="L20" s="3"/>
    </row>
    <row r="21" spans="1:12" ht="27">
      <c r="A21" s="3" t="s">
        <v>19</v>
      </c>
      <c r="B21" s="8"/>
      <c r="C21" s="1" t="s">
        <v>49</v>
      </c>
      <c r="D21" s="2" t="s">
        <v>557</v>
      </c>
      <c r="E21" s="2" t="s">
        <v>558</v>
      </c>
      <c r="F21" s="2"/>
      <c r="G21" s="2"/>
      <c r="H21" s="2"/>
      <c r="I21" s="2"/>
      <c r="J21" s="2"/>
      <c r="K21" s="2"/>
      <c r="L21" s="3" t="s">
        <v>559</v>
      </c>
    </row>
    <row r="22" spans="1:12" ht="28.5">
      <c r="A22" s="3" t="s">
        <v>19</v>
      </c>
      <c r="B22" s="8"/>
      <c r="C22" s="1" t="s">
        <v>50</v>
      </c>
      <c r="D22" s="2" t="s">
        <v>51</v>
      </c>
      <c r="E22" s="2" t="s">
        <v>560</v>
      </c>
      <c r="F22" s="2"/>
      <c r="G22" s="2"/>
      <c r="H22" s="2"/>
      <c r="I22" s="2"/>
      <c r="J22" s="2"/>
      <c r="K22" s="2"/>
      <c r="L22" s="3"/>
    </row>
    <row r="23" spans="1:12" ht="28.5">
      <c r="A23" s="3" t="s">
        <v>19</v>
      </c>
      <c r="B23" s="8"/>
      <c r="C23" s="1" t="s">
        <v>10</v>
      </c>
      <c r="D23" s="2" t="s">
        <v>52</v>
      </c>
      <c r="E23" s="2" t="s">
        <v>561</v>
      </c>
      <c r="F23" s="2"/>
      <c r="G23" s="2"/>
      <c r="H23" s="2"/>
      <c r="I23" s="2"/>
      <c r="J23" s="2"/>
      <c r="K23" s="2"/>
      <c r="L23" s="3"/>
    </row>
    <row r="24" spans="1:12" ht="28.5">
      <c r="A24" s="3" t="s">
        <v>19</v>
      </c>
      <c r="B24" s="8"/>
      <c r="C24" s="1" t="s">
        <v>526</v>
      </c>
      <c r="D24" s="2" t="s">
        <v>527</v>
      </c>
      <c r="E24" s="2" t="s">
        <v>562</v>
      </c>
      <c r="F24" s="2"/>
      <c r="G24" s="2"/>
      <c r="H24" s="2"/>
      <c r="I24" s="2"/>
      <c r="J24" s="2"/>
      <c r="K24" s="2"/>
      <c r="L24" s="3"/>
    </row>
    <row r="25" spans="1:12">
      <c r="A25" s="3" t="s">
        <v>19</v>
      </c>
      <c r="B25" s="8"/>
      <c r="C25" s="1" t="s">
        <v>528</v>
      </c>
      <c r="D25" s="2" t="s">
        <v>529</v>
      </c>
      <c r="E25" s="1" t="s">
        <v>528</v>
      </c>
      <c r="F25" s="1"/>
      <c r="G25" s="1"/>
      <c r="H25" s="1"/>
      <c r="I25" s="1"/>
      <c r="J25" s="2"/>
      <c r="K25" s="2"/>
      <c r="L25" s="3"/>
    </row>
    <row r="26" spans="1:12">
      <c r="A26" s="3" t="s">
        <v>19</v>
      </c>
      <c r="B26" s="8"/>
      <c r="C26" s="1" t="s">
        <v>53</v>
      </c>
      <c r="D26" s="2" t="s">
        <v>54</v>
      </c>
      <c r="E26" s="2" t="s">
        <v>563</v>
      </c>
      <c r="F26" s="2"/>
      <c r="G26" s="2"/>
      <c r="H26" s="2"/>
      <c r="I26" s="2"/>
      <c r="J26" s="2"/>
      <c r="K26" s="2"/>
      <c r="L26" s="3"/>
    </row>
    <row r="27" spans="1:12">
      <c r="A27" s="3" t="s">
        <v>19</v>
      </c>
      <c r="B27" s="8"/>
      <c r="C27" s="1" t="s">
        <v>55</v>
      </c>
      <c r="D27" s="2" t="s">
        <v>11</v>
      </c>
      <c r="E27" s="2" t="s">
        <v>564</v>
      </c>
      <c r="F27" s="6" t="s">
        <v>655</v>
      </c>
      <c r="G27" s="2"/>
      <c r="H27" s="2"/>
      <c r="I27" s="2"/>
      <c r="J27" s="2"/>
      <c r="K27" s="2"/>
      <c r="L27" s="3"/>
    </row>
    <row r="28" spans="1:12">
      <c r="A28" s="3" t="s">
        <v>19</v>
      </c>
      <c r="B28" s="8"/>
      <c r="C28" s="1" t="s">
        <v>56</v>
      </c>
      <c r="D28" s="2" t="s">
        <v>57</v>
      </c>
      <c r="E28" s="2" t="s">
        <v>565</v>
      </c>
      <c r="F28" s="2"/>
      <c r="G28" s="2"/>
      <c r="H28" s="2"/>
      <c r="I28" s="2"/>
      <c r="J28" s="2"/>
      <c r="K28" s="2"/>
      <c r="L28" s="3"/>
    </row>
    <row r="29" spans="1:12">
      <c r="A29" s="3" t="s">
        <v>19</v>
      </c>
      <c r="B29" s="8"/>
      <c r="C29" s="1" t="s">
        <v>58</v>
      </c>
      <c r="D29" s="2" t="s">
        <v>566</v>
      </c>
      <c r="E29" s="2" t="s">
        <v>567</v>
      </c>
      <c r="F29" s="2"/>
      <c r="G29" s="2"/>
      <c r="H29" s="2"/>
      <c r="I29" s="2"/>
      <c r="J29" s="2"/>
      <c r="K29" s="2"/>
      <c r="L29" s="3"/>
    </row>
    <row r="30" spans="1:12">
      <c r="A30" s="3" t="s">
        <v>19</v>
      </c>
      <c r="B30" s="8"/>
      <c r="C30" s="1" t="s">
        <v>59</v>
      </c>
      <c r="D30" s="2" t="s">
        <v>60</v>
      </c>
      <c r="E30" s="2" t="s">
        <v>569</v>
      </c>
      <c r="F30" s="2"/>
      <c r="G30" s="2"/>
      <c r="H30" s="2"/>
      <c r="I30" s="2"/>
      <c r="J30" s="2"/>
      <c r="K30" s="2"/>
      <c r="L30" s="3" t="s">
        <v>568</v>
      </c>
    </row>
    <row r="31" spans="1:12" ht="28.5">
      <c r="A31" s="3" t="s">
        <v>19</v>
      </c>
      <c r="B31" s="8"/>
      <c r="C31" s="1" t="s">
        <v>61</v>
      </c>
      <c r="D31" s="2" t="s">
        <v>62</v>
      </c>
      <c r="E31" s="2" t="s">
        <v>570</v>
      </c>
      <c r="F31" s="2"/>
      <c r="G31" s="2"/>
      <c r="H31" s="2"/>
      <c r="I31" s="2"/>
      <c r="J31" s="2"/>
      <c r="K31" s="2"/>
      <c r="L31" s="3"/>
    </row>
    <row r="32" spans="1:12" ht="27" hidden="1">
      <c r="A32" s="3" t="s">
        <v>960</v>
      </c>
      <c r="B32" s="8"/>
      <c r="C32" s="1" t="s">
        <v>571</v>
      </c>
      <c r="D32" s="2" t="s">
        <v>954</v>
      </c>
      <c r="E32" s="2" t="s">
        <v>577</v>
      </c>
      <c r="F32" s="6" t="s">
        <v>961</v>
      </c>
      <c r="G32" s="2"/>
      <c r="H32" s="2"/>
      <c r="I32" s="2"/>
      <c r="J32" s="2"/>
      <c r="K32" s="2"/>
      <c r="L32" s="3"/>
    </row>
    <row r="33" spans="1:12" hidden="1">
      <c r="A33" s="3" t="s">
        <v>960</v>
      </c>
      <c r="B33" s="8"/>
      <c r="C33" s="1" t="s">
        <v>572</v>
      </c>
      <c r="D33" s="2" t="s">
        <v>955</v>
      </c>
      <c r="E33" s="2" t="s">
        <v>577</v>
      </c>
      <c r="F33" s="6" t="s">
        <v>961</v>
      </c>
      <c r="G33" s="2"/>
      <c r="H33" s="2"/>
      <c r="I33" s="2"/>
      <c r="J33" s="2"/>
      <c r="K33" s="2"/>
      <c r="L33" s="3"/>
    </row>
    <row r="34" spans="1:12" hidden="1">
      <c r="A34" s="3" t="s">
        <v>960</v>
      </c>
      <c r="B34" s="8"/>
      <c r="C34" s="1" t="s">
        <v>573</v>
      </c>
      <c r="D34" s="2" t="s">
        <v>956</v>
      </c>
      <c r="E34" s="2" t="s">
        <v>577</v>
      </c>
      <c r="F34" s="6" t="s">
        <v>961</v>
      </c>
      <c r="G34" s="2"/>
      <c r="H34" s="2"/>
      <c r="I34" s="2"/>
      <c r="J34" s="2"/>
      <c r="K34" s="2"/>
      <c r="L34" s="3"/>
    </row>
    <row r="35" spans="1:12" ht="27" hidden="1">
      <c r="A35" s="3" t="s">
        <v>960</v>
      </c>
      <c r="B35" s="8"/>
      <c r="C35" s="1" t="s">
        <v>574</v>
      </c>
      <c r="D35" s="2" t="s">
        <v>957</v>
      </c>
      <c r="E35" s="2" t="s">
        <v>577</v>
      </c>
      <c r="F35" s="6" t="s">
        <v>961</v>
      </c>
      <c r="G35" s="2"/>
      <c r="H35" s="2"/>
      <c r="I35" s="2"/>
      <c r="J35" s="2"/>
      <c r="K35" s="2"/>
      <c r="L35" s="3"/>
    </row>
    <row r="36" spans="1:12" hidden="1">
      <c r="A36" s="3" t="s">
        <v>960</v>
      </c>
      <c r="B36" s="8"/>
      <c r="C36" s="1" t="s">
        <v>575</v>
      </c>
      <c r="D36" s="2" t="s">
        <v>958</v>
      </c>
      <c r="E36" s="2" t="s">
        <v>577</v>
      </c>
      <c r="F36" s="6" t="s">
        <v>961</v>
      </c>
      <c r="G36" s="2"/>
      <c r="H36" s="2"/>
      <c r="I36" s="2"/>
      <c r="J36" s="2"/>
      <c r="K36" s="2"/>
      <c r="L36" s="3"/>
    </row>
    <row r="37" spans="1:12" hidden="1">
      <c r="A37" s="3" t="s">
        <v>960</v>
      </c>
      <c r="B37" s="8"/>
      <c r="C37" s="1" t="s">
        <v>576</v>
      </c>
      <c r="D37" s="2" t="s">
        <v>959</v>
      </c>
      <c r="E37" s="2" t="s">
        <v>577</v>
      </c>
      <c r="F37" s="6" t="s">
        <v>961</v>
      </c>
      <c r="G37" s="2"/>
      <c r="H37" s="2"/>
      <c r="I37" s="2"/>
      <c r="J37" s="2"/>
      <c r="K37" s="2"/>
      <c r="L37" s="3"/>
    </row>
    <row r="38" spans="1:12" ht="27">
      <c r="A38" s="3" t="s">
        <v>19</v>
      </c>
      <c r="B38" s="8"/>
      <c r="C38" s="1" t="s">
        <v>63</v>
      </c>
      <c r="D38" s="2" t="s">
        <v>578</v>
      </c>
      <c r="E38" s="2" t="s">
        <v>552</v>
      </c>
      <c r="F38" s="2"/>
      <c r="G38" s="2"/>
      <c r="H38" s="2"/>
      <c r="I38" s="2"/>
      <c r="J38" s="2"/>
      <c r="K38" s="2"/>
      <c r="L38" s="3"/>
    </row>
    <row r="39" spans="1:12">
      <c r="A39" s="3" t="s">
        <v>19</v>
      </c>
      <c r="B39" s="8"/>
      <c r="C39" s="1" t="s">
        <v>64</v>
      </c>
      <c r="D39" s="2" t="s">
        <v>579</v>
      </c>
      <c r="E39" s="1" t="s">
        <v>64</v>
      </c>
      <c r="F39" s="1"/>
      <c r="G39" s="1"/>
      <c r="H39" s="1"/>
      <c r="I39" s="1"/>
      <c r="J39" s="2"/>
      <c r="K39" s="2"/>
      <c r="L39" s="3"/>
    </row>
    <row r="40" spans="1:12">
      <c r="A40" s="3" t="s">
        <v>19</v>
      </c>
      <c r="B40" s="8"/>
      <c r="C40" s="1" t="s">
        <v>581</v>
      </c>
      <c r="D40" s="6" t="s">
        <v>580</v>
      </c>
      <c r="E40" s="2" t="s">
        <v>553</v>
      </c>
      <c r="F40" s="2"/>
      <c r="G40" s="2"/>
      <c r="H40" s="2"/>
      <c r="I40" s="2"/>
      <c r="J40" s="2"/>
      <c r="K40" s="2"/>
      <c r="L40" s="3"/>
    </row>
    <row r="41" spans="1:12" ht="27">
      <c r="A41" s="3" t="s">
        <v>19</v>
      </c>
      <c r="B41" s="8"/>
      <c r="C41" s="1" t="s">
        <v>65</v>
      </c>
      <c r="D41" s="2" t="s">
        <v>582</v>
      </c>
      <c r="E41" s="2" t="s">
        <v>587</v>
      </c>
      <c r="F41" s="2"/>
      <c r="G41" s="2"/>
      <c r="H41" s="2"/>
      <c r="I41" s="2"/>
      <c r="J41" s="2"/>
      <c r="K41" s="2"/>
      <c r="L41" s="3"/>
    </row>
    <row r="42" spans="1:12">
      <c r="A42" s="3" t="s">
        <v>19</v>
      </c>
      <c r="B42" s="8"/>
      <c r="C42" s="1" t="s">
        <v>66</v>
      </c>
      <c r="D42" s="2" t="s">
        <v>67</v>
      </c>
      <c r="E42" s="2" t="s">
        <v>590</v>
      </c>
      <c r="F42" s="6"/>
      <c r="G42" s="2"/>
      <c r="H42" s="2"/>
      <c r="I42" s="2"/>
      <c r="J42" s="2"/>
      <c r="K42" s="2"/>
      <c r="L42" s="3"/>
    </row>
    <row r="43" spans="1:12">
      <c r="A43" s="3" t="s">
        <v>19</v>
      </c>
      <c r="B43" s="8"/>
      <c r="C43" s="1" t="s">
        <v>68</v>
      </c>
      <c r="D43" s="2" t="s">
        <v>69</v>
      </c>
      <c r="E43" s="2" t="s">
        <v>590</v>
      </c>
      <c r="F43" s="2"/>
      <c r="G43" s="2"/>
      <c r="H43" s="2"/>
      <c r="I43" s="2"/>
      <c r="J43" s="2"/>
      <c r="K43" s="2"/>
      <c r="L43" s="3"/>
    </row>
    <row r="44" spans="1:12">
      <c r="A44" s="3" t="s">
        <v>19</v>
      </c>
      <c r="B44" s="8"/>
      <c r="C44" s="1" t="s">
        <v>585</v>
      </c>
      <c r="D44" s="2" t="s">
        <v>584</v>
      </c>
      <c r="E44" s="1" t="s">
        <v>585</v>
      </c>
      <c r="F44" s="1"/>
      <c r="G44" s="1"/>
      <c r="H44" s="1"/>
      <c r="I44" s="1"/>
      <c r="J44" s="2"/>
      <c r="K44" s="2"/>
      <c r="L44" s="3" t="s">
        <v>586</v>
      </c>
    </row>
    <row r="45" spans="1:12">
      <c r="A45" s="3" t="s">
        <v>19</v>
      </c>
      <c r="B45" s="8"/>
      <c r="C45" s="1" t="s">
        <v>70</v>
      </c>
      <c r="D45" s="2" t="s">
        <v>583</v>
      </c>
      <c r="E45" s="1" t="s">
        <v>70</v>
      </c>
      <c r="F45" s="1"/>
      <c r="G45" s="1"/>
      <c r="H45" s="1"/>
      <c r="I45" s="1"/>
      <c r="J45" s="2"/>
      <c r="K45" s="2"/>
      <c r="L45" s="3"/>
    </row>
    <row r="46" spans="1:12">
      <c r="A46" s="3" t="s">
        <v>19</v>
      </c>
      <c r="B46" s="8"/>
      <c r="C46" s="1" t="s">
        <v>71</v>
      </c>
      <c r="D46" s="2" t="s">
        <v>595</v>
      </c>
      <c r="E46" s="2" t="s">
        <v>594</v>
      </c>
      <c r="F46" s="6" t="s">
        <v>655</v>
      </c>
      <c r="G46" s="2"/>
      <c r="H46" s="2"/>
      <c r="I46" s="2"/>
      <c r="J46" s="2"/>
      <c r="K46" s="2"/>
      <c r="L46" s="3"/>
    </row>
    <row r="47" spans="1:12">
      <c r="A47" s="3" t="s">
        <v>19</v>
      </c>
      <c r="B47" s="8"/>
      <c r="C47" s="1" t="s">
        <v>72</v>
      </c>
      <c r="D47" s="2" t="s">
        <v>597</v>
      </c>
      <c r="E47" s="2" t="s">
        <v>596</v>
      </c>
      <c r="F47" s="6" t="s">
        <v>655</v>
      </c>
      <c r="G47" s="2"/>
      <c r="H47" s="2"/>
      <c r="I47" s="2"/>
      <c r="J47" s="2"/>
      <c r="K47" s="2"/>
      <c r="L47" s="3"/>
    </row>
    <row r="48" spans="1:12">
      <c r="A48" s="3" t="s">
        <v>19</v>
      </c>
      <c r="B48" s="8"/>
      <c r="C48" s="1" t="s">
        <v>73</v>
      </c>
      <c r="D48" s="2" t="s">
        <v>609</v>
      </c>
      <c r="E48" s="2" t="s">
        <v>608</v>
      </c>
      <c r="F48" s="2"/>
      <c r="G48" s="2"/>
      <c r="H48" s="2"/>
      <c r="I48" s="2"/>
      <c r="J48" s="2"/>
      <c r="K48" s="2"/>
      <c r="L48" s="3" t="s">
        <v>607</v>
      </c>
    </row>
    <row r="49" spans="1:12">
      <c r="A49" s="3" t="s">
        <v>19</v>
      </c>
      <c r="B49" s="8"/>
      <c r="C49" s="1" t="s">
        <v>74</v>
      </c>
      <c r="D49" s="2" t="s">
        <v>75</v>
      </c>
      <c r="E49" s="1" t="s">
        <v>74</v>
      </c>
      <c r="F49" s="1"/>
      <c r="G49" s="1"/>
      <c r="H49" s="1"/>
      <c r="I49" s="1"/>
      <c r="J49" s="2"/>
      <c r="K49" s="2"/>
      <c r="L49" s="3"/>
    </row>
    <row r="50" spans="1:12">
      <c r="A50" s="3" t="s">
        <v>19</v>
      </c>
      <c r="B50" s="8"/>
      <c r="C50" s="1" t="s">
        <v>76</v>
      </c>
      <c r="D50" s="2" t="s">
        <v>77</v>
      </c>
      <c r="E50" s="1" t="s">
        <v>76</v>
      </c>
      <c r="F50" s="1"/>
      <c r="G50" s="1"/>
      <c r="H50" s="1"/>
      <c r="I50" s="1"/>
      <c r="J50" s="2"/>
      <c r="K50" s="2"/>
      <c r="L50" s="3"/>
    </row>
    <row r="51" spans="1:12" ht="28.5">
      <c r="A51" s="3" t="s">
        <v>19</v>
      </c>
      <c r="B51" s="8"/>
      <c r="C51" s="1" t="s">
        <v>12</v>
      </c>
      <c r="D51" s="2" t="s">
        <v>78</v>
      </c>
      <c r="E51" s="2" t="s">
        <v>598</v>
      </c>
      <c r="F51" s="6" t="s">
        <v>655</v>
      </c>
      <c r="G51" s="2"/>
      <c r="H51" s="2"/>
      <c r="I51" s="2"/>
      <c r="J51" s="2"/>
      <c r="K51" s="2"/>
      <c r="L51" s="3"/>
    </row>
    <row r="52" spans="1:12">
      <c r="A52" s="3" t="s">
        <v>19</v>
      </c>
      <c r="B52" s="8"/>
      <c r="C52" s="10" t="s">
        <v>79</v>
      </c>
      <c r="D52" s="2" t="s">
        <v>80</v>
      </c>
      <c r="E52" s="2" t="s">
        <v>599</v>
      </c>
      <c r="F52" s="6" t="s">
        <v>655</v>
      </c>
      <c r="G52" s="2"/>
      <c r="H52" s="2"/>
      <c r="I52" s="2"/>
      <c r="J52" s="2"/>
      <c r="K52" s="2"/>
      <c r="L52" s="3"/>
    </row>
    <row r="53" spans="1:12">
      <c r="A53" s="3" t="s">
        <v>19</v>
      </c>
      <c r="B53" s="8"/>
      <c r="C53" s="1" t="s">
        <v>606</v>
      </c>
      <c r="D53" s="2" t="s">
        <v>87</v>
      </c>
      <c r="E53" s="1" t="s">
        <v>606</v>
      </c>
      <c r="F53" s="1"/>
      <c r="G53" s="1"/>
      <c r="H53" s="1"/>
      <c r="I53" s="1"/>
      <c r="J53" s="2"/>
      <c r="K53" s="2"/>
      <c r="L53" s="3" t="s">
        <v>607</v>
      </c>
    </row>
    <row r="54" spans="1:12">
      <c r="A54" s="3" t="s">
        <v>19</v>
      </c>
      <c r="B54" s="8"/>
      <c r="C54" s="1" t="s">
        <v>591</v>
      </c>
      <c r="D54" s="2" t="s">
        <v>610</v>
      </c>
      <c r="E54" s="2" t="s">
        <v>591</v>
      </c>
      <c r="F54" s="2"/>
      <c r="G54" s="2"/>
      <c r="H54" s="2"/>
      <c r="I54" s="2"/>
      <c r="J54" s="2"/>
      <c r="K54" s="2"/>
      <c r="L54" s="3"/>
    </row>
    <row r="55" spans="1:12" ht="28.5">
      <c r="A55" s="3" t="s">
        <v>19</v>
      </c>
      <c r="B55" s="8"/>
      <c r="C55" s="1" t="s">
        <v>13</v>
      </c>
      <c r="D55" s="2" t="s">
        <v>611</v>
      </c>
      <c r="E55" s="2" t="s">
        <v>592</v>
      </c>
      <c r="F55" s="2"/>
      <c r="G55" s="2"/>
      <c r="H55" s="2"/>
      <c r="I55" s="2"/>
      <c r="J55" s="2"/>
      <c r="K55" s="2"/>
      <c r="L55" s="3"/>
    </row>
    <row r="56" spans="1:12" ht="28.5">
      <c r="A56" s="3" t="s">
        <v>19</v>
      </c>
      <c r="B56" s="8"/>
      <c r="C56" s="1" t="s">
        <v>88</v>
      </c>
      <c r="D56" s="2" t="s">
        <v>612</v>
      </c>
      <c r="E56" s="2" t="s">
        <v>593</v>
      </c>
      <c r="F56" s="2"/>
      <c r="G56" s="2"/>
      <c r="H56" s="2"/>
      <c r="I56" s="2"/>
      <c r="J56" s="2"/>
      <c r="K56" s="2"/>
      <c r="L56" s="3"/>
    </row>
    <row r="57" spans="1:12">
      <c r="A57" s="3" t="s">
        <v>19</v>
      </c>
      <c r="B57" s="8"/>
      <c r="C57" s="1" t="s">
        <v>600</v>
      </c>
      <c r="D57" s="2" t="s">
        <v>81</v>
      </c>
      <c r="E57" s="1" t="s">
        <v>600</v>
      </c>
      <c r="F57" s="1"/>
      <c r="G57" s="1"/>
      <c r="H57" s="1"/>
      <c r="I57" s="1"/>
      <c r="J57" s="2"/>
      <c r="K57" s="2"/>
      <c r="L57" s="3" t="s">
        <v>607</v>
      </c>
    </row>
    <row r="58" spans="1:12">
      <c r="A58" s="3" t="s">
        <v>19</v>
      </c>
      <c r="B58" s="8"/>
      <c r="C58" s="1" t="s">
        <v>601</v>
      </c>
      <c r="D58" s="2" t="s">
        <v>82</v>
      </c>
      <c r="E58" s="1" t="s">
        <v>601</v>
      </c>
      <c r="F58" s="1"/>
      <c r="G58" s="1"/>
      <c r="H58" s="1"/>
      <c r="I58" s="1"/>
      <c r="J58" s="2"/>
      <c r="K58" s="2"/>
      <c r="L58" s="3" t="s">
        <v>607</v>
      </c>
    </row>
    <row r="59" spans="1:12">
      <c r="A59" s="3" t="s">
        <v>19</v>
      </c>
      <c r="B59" s="8"/>
      <c r="C59" s="1" t="s">
        <v>602</v>
      </c>
      <c r="D59" s="2" t="s">
        <v>83</v>
      </c>
      <c r="E59" s="1" t="s">
        <v>602</v>
      </c>
      <c r="F59" s="1"/>
      <c r="G59" s="1"/>
      <c r="H59" s="1"/>
      <c r="I59" s="1"/>
      <c r="J59" s="2"/>
      <c r="K59" s="2"/>
      <c r="L59" s="3" t="s">
        <v>607</v>
      </c>
    </row>
    <row r="60" spans="1:12">
      <c r="A60" s="3" t="s">
        <v>19</v>
      </c>
      <c r="B60" s="8"/>
      <c r="C60" s="1" t="s">
        <v>603</v>
      </c>
      <c r="D60" s="2" t="s">
        <v>84</v>
      </c>
      <c r="E60" s="1" t="s">
        <v>603</v>
      </c>
      <c r="F60" s="1"/>
      <c r="G60" s="1"/>
      <c r="H60" s="1"/>
      <c r="I60" s="1"/>
      <c r="J60" s="2"/>
      <c r="K60" s="2"/>
      <c r="L60" s="3" t="s">
        <v>607</v>
      </c>
    </row>
    <row r="61" spans="1:12">
      <c r="A61" s="3" t="s">
        <v>19</v>
      </c>
      <c r="B61" s="8"/>
      <c r="C61" s="1" t="s">
        <v>738</v>
      </c>
      <c r="D61" s="2" t="s">
        <v>639</v>
      </c>
      <c r="E61" s="2" t="s">
        <v>631</v>
      </c>
      <c r="F61" s="2"/>
      <c r="G61" s="2"/>
      <c r="H61" s="2"/>
      <c r="I61" s="2"/>
      <c r="J61" s="2"/>
      <c r="K61" s="2"/>
      <c r="L61" s="3"/>
    </row>
    <row r="62" spans="1:12">
      <c r="A62" s="3" t="s">
        <v>19</v>
      </c>
      <c r="B62" s="8"/>
      <c r="C62" s="1" t="s">
        <v>604</v>
      </c>
      <c r="D62" s="2" t="s">
        <v>85</v>
      </c>
      <c r="E62" s="1" t="s">
        <v>604</v>
      </c>
      <c r="F62" s="1"/>
      <c r="G62" s="1"/>
      <c r="H62" s="1"/>
      <c r="I62" s="1"/>
      <c r="J62" s="2"/>
      <c r="K62" s="2"/>
      <c r="L62" s="3" t="s">
        <v>607</v>
      </c>
    </row>
    <row r="63" spans="1:12">
      <c r="A63" s="3" t="s">
        <v>19</v>
      </c>
      <c r="B63" s="8"/>
      <c r="C63" s="1" t="s">
        <v>605</v>
      </c>
      <c r="D63" s="2" t="s">
        <v>86</v>
      </c>
      <c r="E63" s="1" t="s">
        <v>605</v>
      </c>
      <c r="F63" s="1"/>
      <c r="G63" s="1"/>
      <c r="H63" s="1"/>
      <c r="I63" s="1"/>
      <c r="J63" s="2"/>
      <c r="K63" s="2"/>
      <c r="L63" s="3" t="s">
        <v>607</v>
      </c>
    </row>
    <row r="64" spans="1:12">
      <c r="A64" s="3" t="s">
        <v>19</v>
      </c>
      <c r="B64" s="8"/>
      <c r="C64" s="1" t="s">
        <v>739</v>
      </c>
      <c r="D64" s="2" t="s">
        <v>641</v>
      </c>
      <c r="E64" s="2" t="s">
        <v>631</v>
      </c>
      <c r="F64" s="2"/>
      <c r="G64" s="2"/>
      <c r="H64" s="2"/>
      <c r="I64" s="2"/>
      <c r="J64" s="2"/>
      <c r="K64" s="2"/>
      <c r="L64" s="3"/>
    </row>
    <row r="65" spans="1:12" ht="86.25">
      <c r="A65" s="3" t="s">
        <v>19</v>
      </c>
      <c r="B65" s="8"/>
      <c r="C65" s="1" t="s">
        <v>614</v>
      </c>
      <c r="D65" s="2" t="s">
        <v>89</v>
      </c>
      <c r="E65" s="2" t="s">
        <v>588</v>
      </c>
      <c r="F65" s="6" t="s">
        <v>655</v>
      </c>
      <c r="G65" s="2"/>
      <c r="H65" s="2"/>
      <c r="I65" s="2"/>
      <c r="J65" s="2"/>
      <c r="K65" s="2"/>
      <c r="L65" s="3"/>
    </row>
    <row r="66" spans="1:12">
      <c r="A66" s="3" t="s">
        <v>19</v>
      </c>
      <c r="B66" s="8"/>
      <c r="C66" s="1" t="s">
        <v>90</v>
      </c>
      <c r="D66" s="2" t="s">
        <v>613</v>
      </c>
      <c r="E66" s="1" t="s">
        <v>90</v>
      </c>
      <c r="F66" s="1"/>
      <c r="G66" s="1"/>
      <c r="H66" s="1"/>
      <c r="I66" s="1"/>
      <c r="J66" s="2"/>
      <c r="K66" s="2"/>
      <c r="L66" s="3"/>
    </row>
    <row r="67" spans="1:12">
      <c r="A67" s="3" t="s">
        <v>19</v>
      </c>
      <c r="B67" s="8"/>
      <c r="C67" s="1" t="s">
        <v>91</v>
      </c>
      <c r="D67" s="2" t="s">
        <v>92</v>
      </c>
      <c r="E67" s="1" t="s">
        <v>91</v>
      </c>
      <c r="F67" s="5" t="s">
        <v>655</v>
      </c>
      <c r="G67" s="1"/>
      <c r="H67" s="1"/>
      <c r="I67" s="1"/>
      <c r="J67" s="2"/>
      <c r="K67" s="2"/>
      <c r="L67" s="3"/>
    </row>
    <row r="68" spans="1:12">
      <c r="A68" s="3" t="s">
        <v>19</v>
      </c>
      <c r="B68" s="8"/>
      <c r="C68" s="1" t="s">
        <v>93</v>
      </c>
      <c r="D68" s="2" t="s">
        <v>94</v>
      </c>
      <c r="E68" s="1" t="s">
        <v>93</v>
      </c>
      <c r="F68" s="1"/>
      <c r="G68" s="1"/>
      <c r="H68" s="1"/>
      <c r="I68" s="1"/>
      <c r="J68" s="2"/>
      <c r="K68" s="2"/>
      <c r="L68" s="3"/>
    </row>
    <row r="69" spans="1:12">
      <c r="A69" s="3" t="s">
        <v>19</v>
      </c>
      <c r="B69" s="8"/>
      <c r="C69" s="1" t="s">
        <v>95</v>
      </c>
      <c r="D69" s="2" t="s">
        <v>96</v>
      </c>
      <c r="E69" s="2" t="s">
        <v>617</v>
      </c>
      <c r="F69" s="2"/>
      <c r="G69" s="2"/>
      <c r="H69" s="2"/>
      <c r="I69" s="2"/>
      <c r="J69" s="2"/>
      <c r="K69" s="2"/>
      <c r="L69" s="3"/>
    </row>
    <row r="70" spans="1:12" ht="28.5">
      <c r="A70" s="3" t="s">
        <v>19</v>
      </c>
      <c r="B70" s="8"/>
      <c r="C70" s="1" t="s">
        <v>615</v>
      </c>
      <c r="D70" s="2" t="s">
        <v>616</v>
      </c>
      <c r="E70" s="2" t="s">
        <v>615</v>
      </c>
      <c r="F70" s="2"/>
      <c r="G70" s="2"/>
      <c r="H70" s="2"/>
      <c r="I70" s="2"/>
      <c r="J70" s="2"/>
      <c r="K70" s="2"/>
      <c r="L70" s="3" t="s">
        <v>607</v>
      </c>
    </row>
    <row r="71" spans="1:12" hidden="1">
      <c r="A71" s="3" t="s">
        <v>960</v>
      </c>
      <c r="B71" s="8"/>
      <c r="C71" s="1" t="s">
        <v>14</v>
      </c>
      <c r="D71" s="2" t="s">
        <v>962</v>
      </c>
      <c r="E71" s="2" t="s">
        <v>618</v>
      </c>
      <c r="F71" s="2"/>
      <c r="G71" s="2"/>
      <c r="H71" s="2"/>
      <c r="I71" s="2"/>
      <c r="J71" s="2"/>
      <c r="K71" s="2"/>
      <c r="L71" s="3"/>
    </row>
    <row r="72" spans="1:12" hidden="1">
      <c r="A72" s="3" t="s">
        <v>960</v>
      </c>
      <c r="B72" s="8"/>
      <c r="C72" s="1" t="s">
        <v>99</v>
      </c>
      <c r="D72" s="2" t="s">
        <v>100</v>
      </c>
      <c r="E72" s="2" t="s">
        <v>619</v>
      </c>
      <c r="F72" s="6" t="s">
        <v>655</v>
      </c>
      <c r="G72" s="2"/>
      <c r="H72" s="2"/>
      <c r="I72" s="2"/>
      <c r="J72" s="2"/>
      <c r="K72" s="2"/>
      <c r="L72" s="3"/>
    </row>
    <row r="73" spans="1:12" ht="28.5">
      <c r="A73" s="3" t="s">
        <v>19</v>
      </c>
      <c r="B73" s="8"/>
      <c r="C73" s="1" t="s">
        <v>646</v>
      </c>
      <c r="D73" s="2" t="s">
        <v>633</v>
      </c>
      <c r="E73" s="2" t="s">
        <v>631</v>
      </c>
      <c r="F73" s="2"/>
      <c r="G73" s="2"/>
      <c r="H73" s="2"/>
      <c r="I73" s="2"/>
      <c r="J73" s="2"/>
      <c r="K73" s="2"/>
      <c r="L73" s="3"/>
    </row>
    <row r="74" spans="1:12" ht="28.5">
      <c r="A74" s="3" t="s">
        <v>19</v>
      </c>
      <c r="B74" s="8"/>
      <c r="C74" s="1" t="s">
        <v>643</v>
      </c>
      <c r="D74" s="2" t="s">
        <v>635</v>
      </c>
      <c r="E74" s="2" t="s">
        <v>631</v>
      </c>
      <c r="F74" s="2"/>
      <c r="G74" s="2"/>
      <c r="H74" s="2"/>
      <c r="I74" s="2"/>
      <c r="J74" s="2"/>
      <c r="K74" s="2"/>
      <c r="L74" s="3"/>
    </row>
    <row r="75" spans="1:12" ht="28.5">
      <c r="A75" s="3" t="s">
        <v>19</v>
      </c>
      <c r="B75" s="8"/>
      <c r="C75" s="1" t="s">
        <v>647</v>
      </c>
      <c r="D75" s="2" t="s">
        <v>634</v>
      </c>
      <c r="E75" s="2" t="s">
        <v>631</v>
      </c>
      <c r="F75" s="2"/>
      <c r="G75" s="2"/>
      <c r="H75" s="2"/>
      <c r="I75" s="2"/>
      <c r="J75" s="2"/>
      <c r="K75" s="2"/>
      <c r="L75" s="3"/>
    </row>
    <row r="76" spans="1:12" ht="28.5">
      <c r="A76" s="3" t="s">
        <v>19</v>
      </c>
      <c r="B76" s="8"/>
      <c r="C76" s="1" t="s">
        <v>740</v>
      </c>
      <c r="D76" s="2" t="s">
        <v>636</v>
      </c>
      <c r="E76" s="2" t="s">
        <v>631</v>
      </c>
      <c r="F76" s="2"/>
      <c r="G76" s="2"/>
      <c r="H76" s="2"/>
      <c r="I76" s="2"/>
      <c r="J76" s="2"/>
      <c r="K76" s="2"/>
      <c r="L76" s="3"/>
    </row>
    <row r="77" spans="1:12" ht="28.5">
      <c r="A77" s="3" t="s">
        <v>19</v>
      </c>
      <c r="B77" s="8"/>
      <c r="C77" s="1" t="s">
        <v>644</v>
      </c>
      <c r="D77" s="2" t="s">
        <v>637</v>
      </c>
      <c r="E77" s="2" t="s">
        <v>631</v>
      </c>
      <c r="F77" s="2"/>
      <c r="G77" s="2"/>
      <c r="H77" s="2"/>
      <c r="I77" s="2"/>
      <c r="J77" s="2"/>
      <c r="K77" s="2"/>
      <c r="L77" s="3"/>
    </row>
    <row r="78" spans="1:12" ht="28.5">
      <c r="A78" s="3" t="s">
        <v>19</v>
      </c>
      <c r="B78" s="8"/>
      <c r="C78" s="1" t="s">
        <v>645</v>
      </c>
      <c r="D78" s="2" t="s">
        <v>640</v>
      </c>
      <c r="E78" s="2" t="s">
        <v>631</v>
      </c>
      <c r="F78" s="2"/>
      <c r="G78" s="2"/>
      <c r="H78" s="2"/>
      <c r="I78" s="2"/>
      <c r="J78" s="2"/>
      <c r="K78" s="2"/>
      <c r="L78" s="3"/>
    </row>
    <row r="79" spans="1:12">
      <c r="A79" s="3" t="s">
        <v>19</v>
      </c>
      <c r="B79" s="8"/>
      <c r="C79" s="1" t="s">
        <v>101</v>
      </c>
      <c r="D79" s="2" t="s">
        <v>102</v>
      </c>
      <c r="E79" s="2" t="s">
        <v>620</v>
      </c>
      <c r="F79" s="2"/>
      <c r="G79" s="2"/>
      <c r="H79" s="2"/>
      <c r="I79" s="2"/>
      <c r="J79" s="2"/>
      <c r="K79" s="2"/>
      <c r="L79" s="3"/>
    </row>
    <row r="80" spans="1:12">
      <c r="A80" s="3" t="s">
        <v>19</v>
      </c>
      <c r="B80" s="8"/>
      <c r="C80" s="1" t="s">
        <v>103</v>
      </c>
      <c r="D80" s="2" t="s">
        <v>104</v>
      </c>
      <c r="E80" s="2" t="s">
        <v>621</v>
      </c>
      <c r="F80" s="6" t="s">
        <v>655</v>
      </c>
      <c r="G80" s="2"/>
      <c r="H80" s="2"/>
      <c r="I80" s="2"/>
      <c r="J80" s="2"/>
      <c r="K80" s="2"/>
      <c r="L80" s="3"/>
    </row>
    <row r="81" spans="1:12" ht="57">
      <c r="A81" s="3" t="s">
        <v>19</v>
      </c>
      <c r="B81" s="8"/>
      <c r="C81" s="1" t="s">
        <v>515</v>
      </c>
      <c r="D81" s="2" t="s">
        <v>623</v>
      </c>
      <c r="E81" s="2" t="s">
        <v>622</v>
      </c>
      <c r="F81" s="6" t="s">
        <v>655</v>
      </c>
      <c r="G81" s="2"/>
      <c r="H81" s="2"/>
      <c r="I81" s="2"/>
      <c r="J81" s="2"/>
      <c r="K81" s="2"/>
      <c r="L81" s="3"/>
    </row>
    <row r="82" spans="1:12" ht="28.5">
      <c r="A82" s="3" t="s">
        <v>19</v>
      </c>
      <c r="B82" s="8"/>
      <c r="C82" s="1" t="s">
        <v>516</v>
      </c>
      <c r="D82" s="2" t="s">
        <v>624</v>
      </c>
      <c r="E82" s="2" t="s">
        <v>625</v>
      </c>
      <c r="F82" s="2"/>
      <c r="G82" s="2"/>
      <c r="H82" s="2"/>
      <c r="I82" s="2"/>
      <c r="J82" s="2"/>
      <c r="K82" s="2"/>
      <c r="L82" s="3"/>
    </row>
    <row r="83" spans="1:12">
      <c r="A83" s="3" t="s">
        <v>19</v>
      </c>
      <c r="B83" s="8"/>
      <c r="C83" s="1" t="s">
        <v>517</v>
      </c>
      <c r="D83" s="2" t="s">
        <v>518</v>
      </c>
      <c r="E83" s="2" t="s">
        <v>626</v>
      </c>
      <c r="F83" s="6" t="s">
        <v>655</v>
      </c>
      <c r="G83" s="2"/>
      <c r="H83" s="2"/>
      <c r="I83" s="2"/>
      <c r="J83" s="2"/>
      <c r="K83" s="2"/>
      <c r="L83" s="3"/>
    </row>
    <row r="84" spans="1:12">
      <c r="A84" s="3" t="s">
        <v>19</v>
      </c>
      <c r="B84" s="8"/>
      <c r="C84" s="1" t="s">
        <v>627</v>
      </c>
      <c r="D84" s="6" t="s">
        <v>630</v>
      </c>
      <c r="E84" s="2" t="s">
        <v>627</v>
      </c>
      <c r="F84" s="6" t="s">
        <v>655</v>
      </c>
      <c r="G84" s="2"/>
      <c r="H84" s="2"/>
      <c r="I84" s="2"/>
      <c r="J84" s="2"/>
      <c r="K84" s="2"/>
      <c r="L84" s="3"/>
    </row>
    <row r="85" spans="1:12">
      <c r="A85" s="3" t="s">
        <v>19</v>
      </c>
      <c r="B85" s="8"/>
      <c r="C85" s="1" t="s">
        <v>628</v>
      </c>
      <c r="D85" s="6" t="s">
        <v>629</v>
      </c>
      <c r="E85" s="2" t="s">
        <v>589</v>
      </c>
      <c r="F85" s="2"/>
      <c r="G85" s="2"/>
      <c r="H85" s="2"/>
      <c r="I85" s="2"/>
      <c r="J85" s="2"/>
      <c r="K85" s="2"/>
      <c r="L85" s="3"/>
    </row>
    <row r="86" spans="1:12">
      <c r="A86" s="3" t="s">
        <v>19</v>
      </c>
      <c r="B86" s="8"/>
      <c r="C86" s="1" t="s">
        <v>519</v>
      </c>
      <c r="D86" s="2" t="s">
        <v>520</v>
      </c>
      <c r="E86" s="1" t="s">
        <v>519</v>
      </c>
      <c r="F86" s="6" t="s">
        <v>655</v>
      </c>
      <c r="G86" s="1"/>
      <c r="H86" s="1"/>
      <c r="I86" s="1"/>
      <c r="J86" s="2"/>
      <c r="K86" s="2"/>
      <c r="L86" s="3"/>
    </row>
    <row r="87" spans="1:12">
      <c r="A87" s="3" t="s">
        <v>19</v>
      </c>
      <c r="B87" s="8"/>
      <c r="C87" s="1" t="s">
        <v>521</v>
      </c>
      <c r="D87" s="2" t="s">
        <v>522</v>
      </c>
      <c r="E87" s="1" t="s">
        <v>521</v>
      </c>
      <c r="F87" s="6" t="s">
        <v>655</v>
      </c>
      <c r="G87" s="1"/>
      <c r="H87" s="1"/>
      <c r="I87" s="1"/>
      <c r="J87" s="2"/>
      <c r="K87" s="2"/>
      <c r="L87" s="3"/>
    </row>
    <row r="88" spans="1:12" hidden="1">
      <c r="A88" s="3" t="s">
        <v>741</v>
      </c>
      <c r="B88" s="4" t="s">
        <v>742</v>
      </c>
      <c r="C88" s="1" t="s">
        <v>743</v>
      </c>
      <c r="D88" s="2" t="s">
        <v>744</v>
      </c>
      <c r="E88" s="2" t="s">
        <v>745</v>
      </c>
      <c r="F88" s="2"/>
      <c r="G88" s="2"/>
      <c r="H88" s="2"/>
      <c r="I88" s="2"/>
      <c r="J88" s="2"/>
      <c r="K88" s="2"/>
      <c r="L88" s="3"/>
    </row>
    <row r="89" spans="1:12" ht="27" hidden="1">
      <c r="A89" s="26" t="s">
        <v>746</v>
      </c>
      <c r="B89" s="27" t="s">
        <v>747</v>
      </c>
      <c r="C89" s="28" t="s">
        <v>748</v>
      </c>
      <c r="D89" s="29" t="s">
        <v>749</v>
      </c>
      <c r="E89" s="29" t="s">
        <v>748</v>
      </c>
      <c r="F89" s="29"/>
      <c r="G89" s="30" t="s">
        <v>750</v>
      </c>
      <c r="H89" s="29"/>
      <c r="I89" s="31">
        <v>1.7999999999999999E-2</v>
      </c>
      <c r="J89" s="29" t="s">
        <v>751</v>
      </c>
      <c r="K89" s="29"/>
      <c r="L89" s="26"/>
    </row>
    <row r="90" spans="1:12" hidden="1">
      <c r="A90" s="3" t="s">
        <v>746</v>
      </c>
      <c r="B90" s="4" t="s">
        <v>747</v>
      </c>
      <c r="C90" s="1" t="s">
        <v>752</v>
      </c>
      <c r="D90" s="2" t="s">
        <v>753</v>
      </c>
      <c r="E90" s="2" t="s">
        <v>953</v>
      </c>
      <c r="F90" s="6" t="s">
        <v>754</v>
      </c>
      <c r="G90" s="3" t="s">
        <v>755</v>
      </c>
      <c r="H90" s="2"/>
      <c r="I90" s="32">
        <v>0.02</v>
      </c>
      <c r="J90" s="3" t="s">
        <v>756</v>
      </c>
      <c r="K90" s="2"/>
      <c r="L90" s="3"/>
    </row>
    <row r="91" spans="1:12" ht="28.5" hidden="1">
      <c r="A91" s="3" t="s">
        <v>757</v>
      </c>
      <c r="B91" s="4" t="s">
        <v>758</v>
      </c>
      <c r="C91" s="1" t="s">
        <v>759</v>
      </c>
      <c r="D91" s="2" t="s">
        <v>760</v>
      </c>
      <c r="E91" s="1" t="s">
        <v>761</v>
      </c>
      <c r="F91" s="6" t="s">
        <v>762</v>
      </c>
      <c r="G91" s="6" t="s">
        <v>763</v>
      </c>
      <c r="H91" s="2"/>
      <c r="I91" s="2" t="s">
        <v>765</v>
      </c>
      <c r="J91" s="6" t="s">
        <v>766</v>
      </c>
      <c r="K91" s="2"/>
      <c r="L91" s="3"/>
    </row>
    <row r="92" spans="1:12" ht="28.5" hidden="1">
      <c r="A92" s="3" t="s">
        <v>767</v>
      </c>
      <c r="B92" s="4" t="s">
        <v>768</v>
      </c>
      <c r="C92" s="1" t="s">
        <v>769</v>
      </c>
      <c r="D92" s="2" t="s">
        <v>770</v>
      </c>
      <c r="E92" s="1" t="s">
        <v>759</v>
      </c>
      <c r="F92" s="6" t="s">
        <v>762</v>
      </c>
      <c r="G92" s="6" t="s">
        <v>772</v>
      </c>
      <c r="H92" s="32">
        <v>8.6999999999999994E-3</v>
      </c>
      <c r="I92" s="32">
        <v>9.2999999999999992E-3</v>
      </c>
      <c r="J92" s="6" t="s">
        <v>773</v>
      </c>
      <c r="K92" s="2"/>
      <c r="L92" s="3"/>
    </row>
    <row r="93" spans="1:12" ht="38.25" hidden="1">
      <c r="A93" s="3" t="s">
        <v>767</v>
      </c>
      <c r="B93" s="4" t="s">
        <v>768</v>
      </c>
      <c r="C93" s="1" t="s">
        <v>774</v>
      </c>
      <c r="D93" s="2" t="s">
        <v>775</v>
      </c>
      <c r="E93" s="1" t="s">
        <v>776</v>
      </c>
      <c r="F93" s="6" t="s">
        <v>762</v>
      </c>
      <c r="G93" s="6" t="s">
        <v>777</v>
      </c>
      <c r="H93" s="32">
        <v>9.1000000000000004E-3</v>
      </c>
      <c r="I93" s="32">
        <v>9.9000000000000008E-3</v>
      </c>
      <c r="J93" s="6" t="s">
        <v>778</v>
      </c>
      <c r="K93" s="2"/>
      <c r="L93" s="3"/>
    </row>
    <row r="94" spans="1:12" ht="28.5" hidden="1">
      <c r="A94" s="3" t="s">
        <v>757</v>
      </c>
      <c r="B94" s="4" t="s">
        <v>779</v>
      </c>
      <c r="C94" s="1" t="s">
        <v>780</v>
      </c>
      <c r="D94" s="2" t="s">
        <v>781</v>
      </c>
      <c r="E94" s="2" t="s">
        <v>780</v>
      </c>
      <c r="F94" s="6" t="s">
        <v>782</v>
      </c>
      <c r="G94" s="6" t="s">
        <v>783</v>
      </c>
      <c r="H94" s="2" t="s">
        <v>784</v>
      </c>
      <c r="I94" s="32">
        <v>2.2499999999999999E-2</v>
      </c>
      <c r="J94" s="6" t="s">
        <v>785</v>
      </c>
      <c r="K94" s="2"/>
      <c r="L94" s="3"/>
    </row>
    <row r="95" spans="1:12" ht="38.25" hidden="1">
      <c r="A95" s="3" t="s">
        <v>767</v>
      </c>
      <c r="B95" s="4" t="s">
        <v>786</v>
      </c>
      <c r="C95" s="4" t="s">
        <v>787</v>
      </c>
      <c r="D95" s="2" t="s">
        <v>781</v>
      </c>
      <c r="E95" s="2" t="s">
        <v>780</v>
      </c>
      <c r="F95" s="6" t="s">
        <v>762</v>
      </c>
      <c r="G95" s="6" t="s">
        <v>783</v>
      </c>
      <c r="H95" s="32">
        <v>2.1899999999999999E-2</v>
      </c>
      <c r="I95" s="32">
        <v>2.1999999999999999E-2</v>
      </c>
      <c r="J95" s="6" t="s">
        <v>788</v>
      </c>
      <c r="K95" s="2"/>
      <c r="L95" s="3"/>
    </row>
    <row r="96" spans="1:12" ht="38.25" hidden="1">
      <c r="A96" s="3" t="s">
        <v>767</v>
      </c>
      <c r="B96" s="4" t="s">
        <v>786</v>
      </c>
      <c r="C96" s="4" t="s">
        <v>789</v>
      </c>
      <c r="D96" s="2" t="s">
        <v>790</v>
      </c>
      <c r="E96" s="2" t="s">
        <v>791</v>
      </c>
      <c r="F96" s="6" t="s">
        <v>762</v>
      </c>
      <c r="G96" s="6" t="s">
        <v>777</v>
      </c>
      <c r="H96" s="32">
        <v>2.0799999999999999E-2</v>
      </c>
      <c r="I96" s="32">
        <v>2.0799999999999999E-2</v>
      </c>
      <c r="J96" s="6" t="s">
        <v>792</v>
      </c>
      <c r="K96" s="2"/>
      <c r="L96" s="3"/>
    </row>
    <row r="97" spans="1:12" hidden="1">
      <c r="A97" s="3" t="s">
        <v>757</v>
      </c>
      <c r="B97" s="4" t="s">
        <v>758</v>
      </c>
      <c r="C97" s="1" t="s">
        <v>793</v>
      </c>
      <c r="D97" s="2" t="s">
        <v>794</v>
      </c>
      <c r="E97" s="2" t="s">
        <v>795</v>
      </c>
      <c r="F97" s="2"/>
      <c r="G97" s="6" t="s">
        <v>796</v>
      </c>
      <c r="H97" s="2"/>
      <c r="I97" s="32">
        <v>6.1000000000000004E-3</v>
      </c>
      <c r="J97" s="2"/>
      <c r="K97" s="2"/>
      <c r="L97" s="3"/>
    </row>
    <row r="98" spans="1:12" hidden="1">
      <c r="A98" s="3" t="s">
        <v>767</v>
      </c>
      <c r="B98" s="4" t="s">
        <v>797</v>
      </c>
      <c r="C98" s="1" t="s">
        <v>798</v>
      </c>
      <c r="D98" s="2" t="s">
        <v>799</v>
      </c>
      <c r="E98" s="2" t="s">
        <v>699</v>
      </c>
      <c r="F98" s="6" t="s">
        <v>762</v>
      </c>
      <c r="G98" s="6" t="s">
        <v>800</v>
      </c>
      <c r="H98" s="2"/>
      <c r="I98" s="32">
        <v>1.09E-2</v>
      </c>
      <c r="J98" s="2" t="s">
        <v>801</v>
      </c>
      <c r="K98" s="2"/>
      <c r="L98" s="3"/>
    </row>
    <row r="99" spans="1:12" ht="27" hidden="1">
      <c r="A99" s="26" t="s">
        <v>767</v>
      </c>
      <c r="B99" s="27" t="s">
        <v>786</v>
      </c>
      <c r="C99" s="28" t="s">
        <v>802</v>
      </c>
      <c r="D99" s="29" t="s">
        <v>803</v>
      </c>
      <c r="E99" s="29" t="s">
        <v>804</v>
      </c>
      <c r="F99" s="29"/>
      <c r="G99" s="30" t="s">
        <v>805</v>
      </c>
      <c r="H99" s="29"/>
      <c r="I99" s="31">
        <v>1.7999999999999999E-2</v>
      </c>
      <c r="J99" s="29" t="s">
        <v>806</v>
      </c>
      <c r="K99" s="29"/>
      <c r="L99" s="26"/>
    </row>
    <row r="100" spans="1:12" hidden="1">
      <c r="A100" s="3" t="s">
        <v>807</v>
      </c>
      <c r="B100" s="4" t="s">
        <v>808</v>
      </c>
      <c r="C100" s="1" t="s">
        <v>809</v>
      </c>
      <c r="D100" s="2" t="s">
        <v>810</v>
      </c>
      <c r="E100" s="2" t="s">
        <v>809</v>
      </c>
      <c r="F100" s="2"/>
      <c r="G100" s="2"/>
      <c r="H100" s="2"/>
      <c r="I100" s="2"/>
      <c r="J100" s="2"/>
      <c r="K100" s="2"/>
      <c r="L100" s="3"/>
    </row>
    <row r="101" spans="1:12" ht="28.5" hidden="1">
      <c r="A101" s="26" t="s">
        <v>746</v>
      </c>
      <c r="B101" s="27" t="s">
        <v>811</v>
      </c>
      <c r="C101" s="28" t="s">
        <v>812</v>
      </c>
      <c r="D101" s="2" t="s">
        <v>813</v>
      </c>
      <c r="E101" s="1" t="s">
        <v>814</v>
      </c>
      <c r="F101" s="2"/>
      <c r="G101" s="6" t="s">
        <v>815</v>
      </c>
      <c r="H101" s="2"/>
      <c r="I101" s="32">
        <v>1.3899999999999999E-2</v>
      </c>
      <c r="J101" s="2" t="s">
        <v>816</v>
      </c>
      <c r="K101" s="2"/>
      <c r="L101" s="3"/>
    </row>
    <row r="102" spans="1:12" hidden="1">
      <c r="A102" s="26" t="s">
        <v>817</v>
      </c>
      <c r="B102" s="27" t="s">
        <v>818</v>
      </c>
      <c r="C102" s="28" t="s">
        <v>819</v>
      </c>
      <c r="D102" s="2" t="s">
        <v>820</v>
      </c>
      <c r="E102" s="2" t="s">
        <v>821</v>
      </c>
      <c r="F102" s="2"/>
      <c r="G102" s="6" t="s">
        <v>822</v>
      </c>
      <c r="H102" s="2"/>
      <c r="I102" s="2">
        <v>1.96</v>
      </c>
      <c r="J102" s="2"/>
      <c r="K102" s="2"/>
      <c r="L102" s="3"/>
    </row>
    <row r="103" spans="1:12" hidden="1">
      <c r="A103" s="26" t="s">
        <v>823</v>
      </c>
      <c r="B103" s="27" t="s">
        <v>824</v>
      </c>
      <c r="C103" s="28" t="s">
        <v>825</v>
      </c>
      <c r="D103" s="2" t="s">
        <v>826</v>
      </c>
      <c r="E103" s="1" t="s">
        <v>825</v>
      </c>
      <c r="F103" s="6" t="s">
        <v>827</v>
      </c>
      <c r="G103" s="6" t="s">
        <v>828</v>
      </c>
      <c r="H103" s="2"/>
      <c r="I103" s="2"/>
      <c r="J103" s="2" t="s">
        <v>829</v>
      </c>
      <c r="K103" s="2"/>
      <c r="L103" s="3"/>
    </row>
    <row r="104" spans="1:12" hidden="1">
      <c r="A104" s="3" t="s">
        <v>757</v>
      </c>
      <c r="B104" s="4" t="s">
        <v>830</v>
      </c>
      <c r="C104" s="1" t="s">
        <v>831</v>
      </c>
      <c r="D104" s="2" t="s">
        <v>832</v>
      </c>
      <c r="E104" s="1" t="s">
        <v>833</v>
      </c>
      <c r="F104" s="6" t="s">
        <v>834</v>
      </c>
      <c r="G104" s="6" t="s">
        <v>755</v>
      </c>
      <c r="H104" s="2"/>
      <c r="I104" s="32">
        <v>1.66E-2</v>
      </c>
      <c r="J104" s="2"/>
      <c r="K104" s="2"/>
      <c r="L104" s="3"/>
    </row>
    <row r="105" spans="1:12" ht="28.5" hidden="1">
      <c r="A105" s="3" t="s">
        <v>757</v>
      </c>
      <c r="B105" s="4" t="s">
        <v>758</v>
      </c>
      <c r="C105" s="1" t="s">
        <v>835</v>
      </c>
      <c r="D105" s="2" t="s">
        <v>836</v>
      </c>
      <c r="E105" s="1" t="s">
        <v>837</v>
      </c>
      <c r="F105" s="6" t="s">
        <v>782</v>
      </c>
      <c r="G105" s="6" t="s">
        <v>783</v>
      </c>
      <c r="H105" s="2"/>
      <c r="I105" s="32">
        <v>1.17E-2</v>
      </c>
      <c r="J105" s="6" t="s">
        <v>838</v>
      </c>
      <c r="K105" s="2"/>
      <c r="L105" s="3"/>
    </row>
    <row r="106" spans="1:12" ht="28.5" hidden="1">
      <c r="A106" s="3" t="s">
        <v>823</v>
      </c>
      <c r="B106" s="4" t="s">
        <v>839</v>
      </c>
      <c r="C106" s="1" t="s">
        <v>840</v>
      </c>
      <c r="D106" s="2" t="s">
        <v>841</v>
      </c>
      <c r="E106" s="1" t="s">
        <v>842</v>
      </c>
      <c r="F106" s="6" t="s">
        <v>782</v>
      </c>
      <c r="G106" s="6" t="s">
        <v>843</v>
      </c>
      <c r="H106" s="2"/>
      <c r="I106" s="2"/>
      <c r="J106" s="6" t="s">
        <v>844</v>
      </c>
      <c r="K106" s="2"/>
      <c r="L106" s="3"/>
    </row>
    <row r="107" spans="1:12" ht="28.5" hidden="1">
      <c r="A107" s="3" t="s">
        <v>767</v>
      </c>
      <c r="B107" s="4" t="s">
        <v>768</v>
      </c>
      <c r="C107" s="1" t="s">
        <v>845</v>
      </c>
      <c r="D107" s="2" t="s">
        <v>846</v>
      </c>
      <c r="E107" s="1" t="s">
        <v>837</v>
      </c>
      <c r="F107" s="6" t="s">
        <v>762</v>
      </c>
      <c r="G107" s="6" t="s">
        <v>777</v>
      </c>
      <c r="H107" s="32">
        <v>0.01</v>
      </c>
      <c r="I107" s="32">
        <v>1.0999999999999999E-2</v>
      </c>
      <c r="J107" s="6" t="s">
        <v>847</v>
      </c>
      <c r="K107" s="2"/>
      <c r="L107" s="3"/>
    </row>
    <row r="108" spans="1:12" hidden="1">
      <c r="A108" s="3" t="s">
        <v>757</v>
      </c>
      <c r="B108" s="4" t="s">
        <v>779</v>
      </c>
      <c r="C108" s="1" t="s">
        <v>848</v>
      </c>
      <c r="D108" s="2" t="s">
        <v>849</v>
      </c>
      <c r="E108" s="2" t="s">
        <v>850</v>
      </c>
      <c r="F108" s="2"/>
      <c r="G108" s="6" t="s">
        <v>851</v>
      </c>
      <c r="H108" s="2"/>
      <c r="I108" s="32">
        <v>1.3299999999999999E-2</v>
      </c>
      <c r="J108" s="2"/>
      <c r="K108" s="2"/>
      <c r="L108" s="3"/>
    </row>
    <row r="109" spans="1:12" ht="28.5" hidden="1">
      <c r="A109" s="3" t="s">
        <v>746</v>
      </c>
      <c r="B109" s="4" t="s">
        <v>852</v>
      </c>
      <c r="C109" s="1" t="s">
        <v>853</v>
      </c>
      <c r="D109" s="2" t="s">
        <v>854</v>
      </c>
      <c r="E109" s="2" t="s">
        <v>855</v>
      </c>
      <c r="F109" s="2"/>
      <c r="G109" s="6" t="s">
        <v>856</v>
      </c>
      <c r="H109" s="32">
        <v>5.7999999999999996E-3</v>
      </c>
      <c r="I109" s="32">
        <v>8.8000000000000005E-3</v>
      </c>
      <c r="J109" s="2" t="s">
        <v>857</v>
      </c>
      <c r="K109" s="2"/>
      <c r="L109" s="3"/>
    </row>
    <row r="110" spans="1:12" ht="28.5" hidden="1">
      <c r="A110" s="3" t="s">
        <v>858</v>
      </c>
      <c r="B110" s="4" t="s">
        <v>859</v>
      </c>
      <c r="C110" s="1" t="s">
        <v>860</v>
      </c>
      <c r="D110" s="2" t="s">
        <v>861</v>
      </c>
      <c r="E110" s="1" t="s">
        <v>860</v>
      </c>
      <c r="F110" s="6" t="s">
        <v>655</v>
      </c>
      <c r="G110" s="6" t="s">
        <v>771</v>
      </c>
      <c r="H110" s="2" t="s">
        <v>764</v>
      </c>
      <c r="I110" s="32">
        <v>2.4199999999999999E-2</v>
      </c>
      <c r="J110" s="6" t="s">
        <v>862</v>
      </c>
      <c r="K110" s="2"/>
      <c r="L110" s="3"/>
    </row>
    <row r="111" spans="1:12" ht="51" hidden="1">
      <c r="A111" s="3" t="s">
        <v>767</v>
      </c>
      <c r="B111" s="4" t="s">
        <v>863</v>
      </c>
      <c r="C111" s="1" t="s">
        <v>864</v>
      </c>
      <c r="D111" s="2" t="s">
        <v>865</v>
      </c>
      <c r="E111" s="1" t="s">
        <v>866</v>
      </c>
      <c r="F111" s="6" t="s">
        <v>655</v>
      </c>
      <c r="G111" s="6" t="s">
        <v>772</v>
      </c>
      <c r="H111" s="32">
        <v>2.4799999999999999E-2</v>
      </c>
      <c r="I111" s="32">
        <v>2.4500000000000001E-2</v>
      </c>
      <c r="J111" s="6" t="s">
        <v>867</v>
      </c>
      <c r="K111" s="2"/>
      <c r="L111" s="3"/>
    </row>
    <row r="112" spans="1:12" ht="51" hidden="1">
      <c r="A112" s="3" t="s">
        <v>767</v>
      </c>
      <c r="B112" s="4" t="s">
        <v>863</v>
      </c>
      <c r="C112" s="1" t="s">
        <v>868</v>
      </c>
      <c r="D112" s="2" t="s">
        <v>869</v>
      </c>
      <c r="E112" s="1" t="s">
        <v>870</v>
      </c>
      <c r="F112" s="6" t="s">
        <v>827</v>
      </c>
      <c r="G112" s="6" t="s">
        <v>871</v>
      </c>
      <c r="H112" s="32">
        <v>2.3E-2</v>
      </c>
      <c r="I112" s="32">
        <v>2.29E-2</v>
      </c>
      <c r="J112" s="6" t="s">
        <v>872</v>
      </c>
      <c r="K112" s="2"/>
      <c r="L112" s="3"/>
    </row>
    <row r="113" spans="1:12" hidden="1">
      <c r="A113" s="3" t="s">
        <v>746</v>
      </c>
      <c r="B113" s="4" t="s">
        <v>811</v>
      </c>
      <c r="C113" s="1" t="s">
        <v>873</v>
      </c>
      <c r="D113" s="2" t="s">
        <v>874</v>
      </c>
      <c r="E113" s="2" t="s">
        <v>873</v>
      </c>
      <c r="F113" s="2"/>
      <c r="G113" s="6" t="s">
        <v>796</v>
      </c>
      <c r="H113" s="2"/>
      <c r="I113" s="32">
        <v>1.7000000000000001E-2</v>
      </c>
      <c r="J113" s="2"/>
      <c r="K113" s="2"/>
      <c r="L113" s="3"/>
    </row>
    <row r="114" spans="1:12" ht="71.25" hidden="1">
      <c r="A114" s="33" t="s">
        <v>105</v>
      </c>
      <c r="B114" s="4" t="s">
        <v>875</v>
      </c>
      <c r="C114" s="1" t="s">
        <v>876</v>
      </c>
      <c r="D114" s="2" t="s">
        <v>877</v>
      </c>
      <c r="E114" s="6" t="s">
        <v>876</v>
      </c>
      <c r="F114" s="6" t="s">
        <v>655</v>
      </c>
      <c r="G114" s="2"/>
      <c r="H114" s="2"/>
      <c r="I114" s="2"/>
      <c r="J114" s="2"/>
      <c r="K114" s="2"/>
      <c r="L114" s="33"/>
    </row>
    <row r="115" spans="1:12" hidden="1">
      <c r="A115" s="33" t="s">
        <v>105</v>
      </c>
      <c r="B115" s="4" t="s">
        <v>878</v>
      </c>
      <c r="C115" s="1" t="s">
        <v>879</v>
      </c>
      <c r="D115" s="2" t="s">
        <v>880</v>
      </c>
      <c r="E115" s="2"/>
      <c r="F115" s="2"/>
      <c r="G115" s="2"/>
      <c r="H115" s="2"/>
      <c r="I115" s="2"/>
      <c r="J115" s="2"/>
      <c r="K115" s="2"/>
      <c r="L115" s="33"/>
    </row>
    <row r="116" spans="1:12" ht="25.5" hidden="1">
      <c r="A116" s="33" t="s">
        <v>881</v>
      </c>
      <c r="B116" s="4" t="s">
        <v>882</v>
      </c>
      <c r="C116" s="1" t="s">
        <v>883</v>
      </c>
      <c r="D116" s="2" t="s">
        <v>884</v>
      </c>
      <c r="E116" s="1" t="s">
        <v>885</v>
      </c>
      <c r="F116" s="6" t="s">
        <v>754</v>
      </c>
      <c r="G116" s="6" t="s">
        <v>871</v>
      </c>
      <c r="H116" s="32">
        <v>2.8899999999999999E-2</v>
      </c>
      <c r="I116" s="32">
        <v>3.7199999999999997E-2</v>
      </c>
      <c r="J116" s="6" t="s">
        <v>886</v>
      </c>
      <c r="K116" s="6" t="s">
        <v>887</v>
      </c>
      <c r="L116" s="33"/>
    </row>
    <row r="117" spans="1:12" hidden="1">
      <c r="A117" s="33" t="s">
        <v>888</v>
      </c>
      <c r="B117" s="4" t="s">
        <v>889</v>
      </c>
      <c r="C117" s="1" t="s">
        <v>890</v>
      </c>
      <c r="D117" s="2" t="s">
        <v>891</v>
      </c>
      <c r="E117" s="2"/>
      <c r="F117" s="2"/>
      <c r="G117" s="2"/>
      <c r="H117" s="2"/>
      <c r="I117" s="2"/>
      <c r="J117" s="2"/>
      <c r="K117" s="2"/>
      <c r="L117" s="33"/>
    </row>
    <row r="118" spans="1:12" hidden="1">
      <c r="A118" s="33" t="s">
        <v>881</v>
      </c>
      <c r="B118" s="4" t="s">
        <v>892</v>
      </c>
      <c r="C118" s="1" t="s">
        <v>893</v>
      </c>
      <c r="D118" s="2" t="s">
        <v>894</v>
      </c>
      <c r="E118" s="1" t="s">
        <v>893</v>
      </c>
      <c r="F118" s="6" t="s">
        <v>762</v>
      </c>
      <c r="G118" s="2"/>
      <c r="H118" s="2"/>
      <c r="I118" s="2"/>
      <c r="J118" s="2"/>
      <c r="K118" s="2"/>
      <c r="L118" s="33"/>
    </row>
    <row r="119" spans="1:12" hidden="1">
      <c r="A119" s="33" t="s">
        <v>888</v>
      </c>
      <c r="B119" s="4" t="s">
        <v>875</v>
      </c>
      <c r="C119" s="1" t="s">
        <v>895</v>
      </c>
      <c r="D119" s="2" t="s">
        <v>896</v>
      </c>
      <c r="E119" s="2"/>
      <c r="F119" s="2"/>
      <c r="G119" s="2"/>
      <c r="H119" s="2"/>
      <c r="I119" s="2"/>
      <c r="J119" s="2"/>
      <c r="K119" s="2"/>
      <c r="L119" s="33"/>
    </row>
    <row r="120" spans="1:12" hidden="1">
      <c r="A120" s="33" t="s">
        <v>897</v>
      </c>
      <c r="B120" s="4" t="s">
        <v>898</v>
      </c>
      <c r="C120" s="1" t="s">
        <v>899</v>
      </c>
      <c r="D120" s="2" t="s">
        <v>900</v>
      </c>
      <c r="E120" s="2"/>
      <c r="F120" s="2"/>
      <c r="G120" s="2"/>
      <c r="H120" s="2"/>
      <c r="I120" s="2"/>
      <c r="J120" s="2"/>
      <c r="K120" s="2"/>
      <c r="L120" s="33"/>
    </row>
    <row r="121" spans="1:12" hidden="1">
      <c r="A121" s="33" t="s">
        <v>901</v>
      </c>
      <c r="B121" s="4" t="s">
        <v>902</v>
      </c>
      <c r="C121" s="1" t="s">
        <v>903</v>
      </c>
      <c r="D121" s="2" t="s">
        <v>904</v>
      </c>
      <c r="E121" s="2"/>
      <c r="F121" s="2"/>
      <c r="G121" s="2"/>
      <c r="H121" s="2"/>
      <c r="I121" s="2"/>
      <c r="J121" s="2"/>
      <c r="K121" s="2"/>
      <c r="L121" s="33"/>
    </row>
    <row r="122" spans="1:12" hidden="1">
      <c r="A122" s="33" t="s">
        <v>901</v>
      </c>
      <c r="B122" s="4" t="s">
        <v>905</v>
      </c>
      <c r="C122" s="1" t="s">
        <v>906</v>
      </c>
      <c r="D122" s="2" t="s">
        <v>907</v>
      </c>
      <c r="E122" s="2"/>
      <c r="F122" s="2"/>
      <c r="G122" s="2"/>
      <c r="H122" s="2"/>
      <c r="I122" s="2"/>
      <c r="J122" s="2"/>
      <c r="K122" s="2"/>
      <c r="L122" s="33"/>
    </row>
    <row r="123" spans="1:12" ht="28.5" hidden="1">
      <c r="A123" s="33" t="s">
        <v>908</v>
      </c>
      <c r="B123" s="4" t="s">
        <v>909</v>
      </c>
      <c r="C123" s="1" t="s">
        <v>910</v>
      </c>
      <c r="D123" s="2" t="s">
        <v>911</v>
      </c>
      <c r="E123" s="1" t="s">
        <v>910</v>
      </c>
      <c r="F123" s="6" t="s">
        <v>912</v>
      </c>
      <c r="G123" s="2"/>
      <c r="H123" s="2"/>
      <c r="I123" s="2"/>
      <c r="J123" s="2"/>
      <c r="K123" s="2"/>
      <c r="L123" s="33"/>
    </row>
    <row r="124" spans="1:12" hidden="1">
      <c r="A124" s="33" t="s">
        <v>888</v>
      </c>
      <c r="B124" s="4" t="s">
        <v>913</v>
      </c>
      <c r="C124" s="1" t="s">
        <v>914</v>
      </c>
      <c r="D124" s="2" t="s">
        <v>915</v>
      </c>
      <c r="E124" s="2"/>
      <c r="F124" s="2"/>
      <c r="G124" s="2"/>
      <c r="H124" s="2"/>
      <c r="I124" s="2"/>
      <c r="J124" s="2"/>
      <c r="K124" s="2"/>
      <c r="L124" s="33"/>
    </row>
    <row r="125" spans="1:12" hidden="1">
      <c r="A125" s="33" t="s">
        <v>888</v>
      </c>
      <c r="B125" s="4" t="s">
        <v>913</v>
      </c>
      <c r="C125" s="1" t="s">
        <v>916</v>
      </c>
      <c r="D125" s="2" t="s">
        <v>917</v>
      </c>
      <c r="E125" s="1" t="s">
        <v>916</v>
      </c>
      <c r="F125" s="6" t="s">
        <v>912</v>
      </c>
      <c r="G125" s="2"/>
      <c r="H125" s="2"/>
      <c r="I125" s="2"/>
      <c r="J125" s="2"/>
      <c r="K125" s="2"/>
      <c r="L125" s="33"/>
    </row>
    <row r="126" spans="1:12" hidden="1">
      <c r="A126" s="33" t="s">
        <v>881</v>
      </c>
      <c r="B126" s="4" t="s">
        <v>918</v>
      </c>
      <c r="C126" s="1" t="s">
        <v>919</v>
      </c>
      <c r="D126" s="2" t="s">
        <v>920</v>
      </c>
      <c r="E126" s="1" t="s">
        <v>919</v>
      </c>
      <c r="F126" s="6" t="s">
        <v>912</v>
      </c>
      <c r="G126" s="2"/>
      <c r="H126" s="2"/>
      <c r="I126" s="2"/>
      <c r="J126" s="2"/>
      <c r="K126" s="2"/>
      <c r="L126" s="33"/>
    </row>
    <row r="127" spans="1:12" hidden="1">
      <c r="A127" s="33" t="s">
        <v>881</v>
      </c>
      <c r="B127" s="4" t="s">
        <v>918</v>
      </c>
      <c r="C127" s="1" t="s">
        <v>921</v>
      </c>
      <c r="D127" s="2" t="s">
        <v>922</v>
      </c>
      <c r="E127" s="2"/>
      <c r="F127" s="2"/>
      <c r="G127" s="2"/>
      <c r="H127" s="2"/>
      <c r="I127" s="2"/>
      <c r="J127" s="2"/>
      <c r="K127" s="2"/>
      <c r="L127" s="33"/>
    </row>
    <row r="128" spans="1:12" hidden="1">
      <c r="A128" s="33" t="s">
        <v>881</v>
      </c>
      <c r="B128" s="4" t="s">
        <v>882</v>
      </c>
      <c r="C128" s="1" t="s">
        <v>923</v>
      </c>
      <c r="D128" s="2" t="s">
        <v>924</v>
      </c>
      <c r="E128" s="2"/>
      <c r="F128" s="2"/>
      <c r="G128" s="2"/>
      <c r="H128" s="2"/>
      <c r="I128" s="2"/>
      <c r="J128" s="2"/>
      <c r="K128" s="2"/>
      <c r="L128" s="33"/>
    </row>
    <row r="129" spans="1:12" hidden="1">
      <c r="A129" s="33" t="s">
        <v>881</v>
      </c>
      <c r="B129" s="4" t="s">
        <v>918</v>
      </c>
      <c r="C129" s="1" t="s">
        <v>925</v>
      </c>
      <c r="D129" s="2" t="s">
        <v>926</v>
      </c>
      <c r="E129" s="1" t="s">
        <v>927</v>
      </c>
      <c r="F129" s="6" t="s">
        <v>762</v>
      </c>
      <c r="G129" s="2"/>
      <c r="H129" s="2"/>
      <c r="I129" s="2"/>
      <c r="J129" s="2"/>
      <c r="K129" s="2"/>
      <c r="L129" s="33"/>
    </row>
    <row r="130" spans="1:12" hidden="1">
      <c r="A130" s="33" t="s">
        <v>888</v>
      </c>
      <c r="B130" s="4" t="s">
        <v>889</v>
      </c>
      <c r="C130" s="1" t="s">
        <v>928</v>
      </c>
      <c r="D130" s="2" t="s">
        <v>929</v>
      </c>
      <c r="E130" s="2"/>
      <c r="F130" s="2"/>
      <c r="G130" s="2"/>
      <c r="H130" s="2"/>
      <c r="I130" s="2"/>
      <c r="J130" s="2"/>
      <c r="K130" s="2"/>
      <c r="L130" s="33"/>
    </row>
    <row r="131" spans="1:12" ht="25.5" hidden="1">
      <c r="A131" s="33" t="s">
        <v>881</v>
      </c>
      <c r="B131" s="4" t="s">
        <v>882</v>
      </c>
      <c r="C131" s="1" t="s">
        <v>930</v>
      </c>
      <c r="D131" s="2" t="s">
        <v>931</v>
      </c>
      <c r="E131" s="1" t="s">
        <v>930</v>
      </c>
      <c r="F131" s="6" t="s">
        <v>754</v>
      </c>
      <c r="G131" s="6" t="s">
        <v>783</v>
      </c>
      <c r="H131" s="32">
        <v>1.41E-2</v>
      </c>
      <c r="I131" s="32">
        <v>2.3699999999999999E-2</v>
      </c>
      <c r="J131" s="6" t="s">
        <v>932</v>
      </c>
      <c r="K131" s="6" t="s">
        <v>933</v>
      </c>
      <c r="L131" s="33"/>
    </row>
    <row r="132" spans="1:12" ht="25.5" hidden="1">
      <c r="A132" s="33" t="s">
        <v>934</v>
      </c>
      <c r="B132" s="4" t="s">
        <v>935</v>
      </c>
      <c r="C132" s="1" t="s">
        <v>936</v>
      </c>
      <c r="D132" s="2" t="s">
        <v>937</v>
      </c>
      <c r="E132" s="1" t="s">
        <v>938</v>
      </c>
      <c r="F132" s="6" t="s">
        <v>939</v>
      </c>
      <c r="G132" s="6" t="s">
        <v>940</v>
      </c>
      <c r="H132" s="32">
        <v>1.4999999999999999E-2</v>
      </c>
      <c r="I132" s="32">
        <v>2.29E-2</v>
      </c>
      <c r="J132" s="6" t="s">
        <v>941</v>
      </c>
      <c r="K132" s="6" t="s">
        <v>942</v>
      </c>
      <c r="L132" s="33"/>
    </row>
    <row r="133" spans="1:12" ht="25.5" hidden="1">
      <c r="A133" s="33" t="s">
        <v>908</v>
      </c>
      <c r="B133" s="4" t="s">
        <v>943</v>
      </c>
      <c r="C133" s="1" t="s">
        <v>944</v>
      </c>
      <c r="D133" s="2" t="s">
        <v>945</v>
      </c>
      <c r="E133" s="1" t="s">
        <v>944</v>
      </c>
      <c r="F133" s="6" t="s">
        <v>939</v>
      </c>
      <c r="G133" s="6" t="s">
        <v>772</v>
      </c>
      <c r="H133" s="32">
        <v>1.72E-2</v>
      </c>
      <c r="I133" s="32">
        <v>2.8500000000000001E-2</v>
      </c>
      <c r="J133" s="6" t="s">
        <v>946</v>
      </c>
      <c r="K133" s="6" t="s">
        <v>947</v>
      </c>
      <c r="L133" s="33"/>
    </row>
    <row r="134" spans="1:12" hidden="1">
      <c r="A134" s="33" t="s">
        <v>881</v>
      </c>
      <c r="B134" s="4" t="s">
        <v>882</v>
      </c>
      <c r="C134" s="1" t="s">
        <v>948</v>
      </c>
      <c r="D134" s="2" t="s">
        <v>949</v>
      </c>
      <c r="E134" s="2"/>
      <c r="F134" s="2"/>
      <c r="G134" s="2"/>
      <c r="H134" s="2"/>
      <c r="I134" s="2"/>
      <c r="J134" s="2"/>
      <c r="K134" s="2"/>
      <c r="L134" s="33"/>
    </row>
    <row r="135" spans="1:12" hidden="1">
      <c r="A135" s="33" t="s">
        <v>881</v>
      </c>
      <c r="B135" s="4" t="s">
        <v>882</v>
      </c>
      <c r="C135" s="1" t="s">
        <v>950</v>
      </c>
      <c r="D135" s="2" t="s">
        <v>951</v>
      </c>
      <c r="E135" s="1" t="s">
        <v>952</v>
      </c>
      <c r="F135" s="6" t="s">
        <v>762</v>
      </c>
      <c r="G135" s="6" t="s">
        <v>777</v>
      </c>
      <c r="H135" s="2"/>
      <c r="I135" s="2"/>
      <c r="J135" s="2"/>
      <c r="K135" s="2"/>
      <c r="L135" s="33"/>
    </row>
    <row r="136" spans="1:12" hidden="1">
      <c r="A136" s="3" t="s">
        <v>106</v>
      </c>
      <c r="B136" s="4" t="s">
        <v>107</v>
      </c>
      <c r="C136" s="1" t="s">
        <v>108</v>
      </c>
      <c r="D136" s="2" t="s">
        <v>109</v>
      </c>
      <c r="E136" s="1" t="s">
        <v>108</v>
      </c>
      <c r="F136" s="6" t="s">
        <v>655</v>
      </c>
      <c r="G136" s="2"/>
      <c r="H136" s="2"/>
      <c r="I136" s="2"/>
      <c r="J136" s="2"/>
      <c r="K136" s="2"/>
      <c r="L136" s="3"/>
    </row>
    <row r="137" spans="1:12" ht="28.5" hidden="1">
      <c r="A137" s="3" t="s">
        <v>106</v>
      </c>
      <c r="B137" s="4" t="s">
        <v>107</v>
      </c>
      <c r="C137" s="1" t="s">
        <v>110</v>
      </c>
      <c r="D137" s="2" t="s">
        <v>111</v>
      </c>
      <c r="E137" s="2"/>
      <c r="F137" s="2"/>
      <c r="G137" s="2"/>
      <c r="H137" s="2"/>
      <c r="I137" s="2"/>
      <c r="J137" s="2"/>
      <c r="K137" s="2"/>
      <c r="L137" s="3"/>
    </row>
    <row r="138" spans="1:12" ht="38.25" hidden="1">
      <c r="A138" s="3" t="s">
        <v>656</v>
      </c>
      <c r="B138" s="8" t="s">
        <v>657</v>
      </c>
      <c r="C138" s="1" t="s">
        <v>664</v>
      </c>
      <c r="D138" s="6" t="s">
        <v>665</v>
      </c>
      <c r="E138" s="2" t="s">
        <v>664</v>
      </c>
      <c r="F138" s="6" t="s">
        <v>655</v>
      </c>
      <c r="G138" s="2"/>
      <c r="H138" s="2"/>
      <c r="I138" s="2"/>
      <c r="J138" s="2"/>
      <c r="K138" s="2"/>
      <c r="L138" s="3"/>
    </row>
    <row r="139" spans="1:12" hidden="1">
      <c r="A139" s="3" t="s">
        <v>106</v>
      </c>
      <c r="B139" s="4" t="s">
        <v>107</v>
      </c>
      <c r="C139" s="1" t="s">
        <v>112</v>
      </c>
      <c r="D139" s="2" t="s">
        <v>113</v>
      </c>
      <c r="E139" s="2"/>
      <c r="F139" s="2"/>
      <c r="G139" s="2"/>
      <c r="H139" s="2"/>
      <c r="I139" s="2"/>
      <c r="J139" s="2"/>
      <c r="K139" s="2"/>
      <c r="L139" s="3"/>
    </row>
    <row r="140" spans="1:12" hidden="1">
      <c r="A140" s="3" t="s">
        <v>106</v>
      </c>
      <c r="B140" s="4" t="s">
        <v>107</v>
      </c>
      <c r="C140" s="1" t="s">
        <v>114</v>
      </c>
      <c r="D140" s="2" t="s">
        <v>115</v>
      </c>
      <c r="E140" s="2"/>
      <c r="F140" s="2"/>
      <c r="G140" s="2"/>
      <c r="H140" s="2"/>
      <c r="I140" s="2"/>
      <c r="J140" s="2"/>
      <c r="K140" s="2"/>
      <c r="L140" s="3"/>
    </row>
    <row r="141" spans="1:12" hidden="1">
      <c r="A141" s="3" t="s">
        <v>106</v>
      </c>
      <c r="B141" s="4" t="s">
        <v>107</v>
      </c>
      <c r="C141" s="1" t="s">
        <v>116</v>
      </c>
      <c r="D141" s="2" t="s">
        <v>117</v>
      </c>
      <c r="E141" s="2"/>
      <c r="F141" s="2"/>
      <c r="G141" s="2"/>
      <c r="H141" s="2"/>
      <c r="I141" s="2"/>
      <c r="J141" s="2"/>
      <c r="K141" s="2"/>
      <c r="L141" s="3"/>
    </row>
    <row r="142" spans="1:12" hidden="1">
      <c r="A142" s="3" t="s">
        <v>106</v>
      </c>
      <c r="B142" s="4" t="s">
        <v>107</v>
      </c>
      <c r="C142" s="1" t="s">
        <v>118</v>
      </c>
      <c r="D142" s="2" t="s">
        <v>119</v>
      </c>
      <c r="E142" s="2"/>
      <c r="F142" s="2"/>
      <c r="G142" s="2"/>
      <c r="H142" s="2"/>
      <c r="I142" s="2"/>
      <c r="J142" s="2"/>
      <c r="K142" s="2"/>
      <c r="L142" s="3"/>
    </row>
    <row r="143" spans="1:12" hidden="1">
      <c r="A143" s="3" t="s">
        <v>106</v>
      </c>
      <c r="B143" s="4" t="s">
        <v>107</v>
      </c>
      <c r="C143" s="1" t="s">
        <v>120</v>
      </c>
      <c r="D143" s="2" t="s">
        <v>121</v>
      </c>
      <c r="E143" s="2"/>
      <c r="F143" s="2"/>
      <c r="G143" s="2"/>
      <c r="H143" s="2"/>
      <c r="I143" s="2"/>
      <c r="J143" s="2"/>
      <c r="K143" s="2"/>
      <c r="L143" s="3"/>
    </row>
    <row r="144" spans="1:12" hidden="1">
      <c r="A144" s="3" t="s">
        <v>106</v>
      </c>
      <c r="B144" s="4" t="s">
        <v>107</v>
      </c>
      <c r="C144" s="1" t="s">
        <v>122</v>
      </c>
      <c r="D144" s="2" t="s">
        <v>123</v>
      </c>
      <c r="E144" s="2"/>
      <c r="F144" s="2"/>
      <c r="G144" s="2"/>
      <c r="H144" s="2"/>
      <c r="I144" s="2"/>
      <c r="J144" s="2"/>
      <c r="K144" s="2"/>
      <c r="L144" s="3"/>
    </row>
    <row r="145" spans="1:12" hidden="1">
      <c r="A145" s="3" t="s">
        <v>106</v>
      </c>
      <c r="B145" s="4" t="s">
        <v>107</v>
      </c>
      <c r="C145" s="1" t="s">
        <v>124</v>
      </c>
      <c r="D145" s="2" t="s">
        <v>125</v>
      </c>
      <c r="E145" s="2"/>
      <c r="F145" s="2"/>
      <c r="G145" s="2"/>
      <c r="H145" s="2"/>
      <c r="I145" s="2"/>
      <c r="J145" s="2"/>
      <c r="K145" s="2"/>
      <c r="L145" s="3"/>
    </row>
    <row r="146" spans="1:12" hidden="1">
      <c r="A146" s="3" t="s">
        <v>106</v>
      </c>
      <c r="B146" s="4" t="s">
        <v>107</v>
      </c>
      <c r="C146" s="1" t="s">
        <v>126</v>
      </c>
      <c r="D146" s="2" t="s">
        <v>127</v>
      </c>
      <c r="E146" s="2"/>
      <c r="F146" s="2"/>
      <c r="G146" s="2"/>
      <c r="H146" s="2"/>
      <c r="I146" s="2"/>
      <c r="J146" s="2"/>
      <c r="K146" s="2"/>
      <c r="L146" s="3"/>
    </row>
    <row r="147" spans="1:12" hidden="1">
      <c r="A147" s="3" t="s">
        <v>106</v>
      </c>
      <c r="B147" s="4" t="s">
        <v>107</v>
      </c>
      <c r="C147" s="1" t="s">
        <v>128</v>
      </c>
      <c r="D147" s="2" t="s">
        <v>129</v>
      </c>
      <c r="E147" s="2"/>
      <c r="F147" s="2"/>
      <c r="G147" s="2"/>
      <c r="H147" s="2"/>
      <c r="I147" s="2"/>
      <c r="J147" s="2"/>
      <c r="K147" s="2"/>
      <c r="L147" s="3"/>
    </row>
    <row r="148" spans="1:12" ht="28.5" hidden="1">
      <c r="A148" s="3" t="s">
        <v>106</v>
      </c>
      <c r="B148" s="4" t="s">
        <v>107</v>
      </c>
      <c r="C148" s="1" t="s">
        <v>130</v>
      </c>
      <c r="D148" s="2" t="s">
        <v>131</v>
      </c>
      <c r="E148" s="2"/>
      <c r="F148" s="2"/>
      <c r="G148" s="2"/>
      <c r="H148" s="2"/>
      <c r="I148" s="2"/>
      <c r="J148" s="2"/>
      <c r="K148" s="2"/>
      <c r="L148" s="3"/>
    </row>
    <row r="149" spans="1:12" hidden="1">
      <c r="A149" s="3" t="s">
        <v>106</v>
      </c>
      <c r="B149" s="4" t="s">
        <v>107</v>
      </c>
      <c r="C149" s="1" t="s">
        <v>132</v>
      </c>
      <c r="D149" s="2" t="s">
        <v>133</v>
      </c>
      <c r="E149" s="1" t="s">
        <v>132</v>
      </c>
      <c r="F149" s="6" t="s">
        <v>655</v>
      </c>
      <c r="G149" s="2"/>
      <c r="H149" s="2"/>
      <c r="I149" s="2"/>
      <c r="J149" s="2"/>
      <c r="K149" s="2"/>
      <c r="L149" s="3"/>
    </row>
    <row r="150" spans="1:12" hidden="1">
      <c r="A150" s="3" t="s">
        <v>106</v>
      </c>
      <c r="B150" s="4" t="s">
        <v>107</v>
      </c>
      <c r="C150" s="1" t="s">
        <v>134</v>
      </c>
      <c r="D150" s="2" t="s">
        <v>135</v>
      </c>
      <c r="E150" s="2"/>
      <c r="F150" s="2"/>
      <c r="G150" s="2"/>
      <c r="H150" s="2"/>
      <c r="I150" s="2"/>
      <c r="J150" s="2"/>
      <c r="K150" s="2"/>
      <c r="L150" s="3"/>
    </row>
    <row r="151" spans="1:12" hidden="1">
      <c r="A151" s="3" t="s">
        <v>106</v>
      </c>
      <c r="B151" s="4" t="s">
        <v>107</v>
      </c>
      <c r="C151" s="1" t="s">
        <v>136</v>
      </c>
      <c r="D151" s="2" t="s">
        <v>137</v>
      </c>
      <c r="E151" s="2"/>
      <c r="F151" s="2"/>
      <c r="G151" s="2"/>
      <c r="H151" s="2"/>
      <c r="I151" s="2"/>
      <c r="J151" s="2"/>
      <c r="K151" s="2"/>
      <c r="L151" s="3"/>
    </row>
    <row r="152" spans="1:12" hidden="1">
      <c r="A152" s="3" t="s">
        <v>106</v>
      </c>
      <c r="B152" s="4" t="s">
        <v>107</v>
      </c>
      <c r="C152" s="1" t="s">
        <v>138</v>
      </c>
      <c r="D152" s="2" t="s">
        <v>139</v>
      </c>
      <c r="E152" s="2"/>
      <c r="F152" s="2"/>
      <c r="G152" s="2"/>
      <c r="H152" s="2"/>
      <c r="I152" s="2"/>
      <c r="J152" s="2"/>
      <c r="K152" s="2"/>
      <c r="L152" s="3"/>
    </row>
    <row r="153" spans="1:12" hidden="1">
      <c r="A153" s="3" t="s">
        <v>106</v>
      </c>
      <c r="B153" s="4" t="s">
        <v>107</v>
      </c>
      <c r="C153" s="1" t="s">
        <v>140</v>
      </c>
      <c r="D153" s="2" t="s">
        <v>141</v>
      </c>
      <c r="E153" s="2"/>
      <c r="F153" s="2"/>
      <c r="G153" s="2"/>
      <c r="H153" s="2"/>
      <c r="I153" s="2"/>
      <c r="J153" s="2"/>
      <c r="K153" s="2"/>
      <c r="L153" s="3"/>
    </row>
    <row r="154" spans="1:12" hidden="1">
      <c r="A154" s="3" t="s">
        <v>106</v>
      </c>
      <c r="B154" s="4" t="s">
        <v>107</v>
      </c>
      <c r="C154" s="1" t="s">
        <v>142</v>
      </c>
      <c r="D154" s="2" t="s">
        <v>143</v>
      </c>
      <c r="E154" s="2"/>
      <c r="F154" s="2"/>
      <c r="G154" s="2"/>
      <c r="H154" s="2"/>
      <c r="I154" s="2"/>
      <c r="J154" s="2"/>
      <c r="K154" s="2"/>
      <c r="L154" s="3"/>
    </row>
    <row r="155" spans="1:12" hidden="1">
      <c r="A155" s="3" t="s">
        <v>106</v>
      </c>
      <c r="B155" s="4" t="s">
        <v>107</v>
      </c>
      <c r="C155" s="1" t="s">
        <v>144</v>
      </c>
      <c r="D155" s="2" t="s">
        <v>145</v>
      </c>
      <c r="E155" s="2"/>
      <c r="F155" s="2"/>
      <c r="G155" s="2"/>
      <c r="H155" s="2"/>
      <c r="I155" s="2"/>
      <c r="J155" s="2"/>
      <c r="K155" s="2"/>
      <c r="L155" s="3"/>
    </row>
    <row r="156" spans="1:12" ht="28.5" hidden="1">
      <c r="A156" s="3" t="s">
        <v>106</v>
      </c>
      <c r="B156" s="8" t="s">
        <v>666</v>
      </c>
      <c r="C156" s="1" t="s">
        <v>667</v>
      </c>
      <c r="D156" s="6" t="s">
        <v>668</v>
      </c>
      <c r="E156" s="2" t="s">
        <v>667</v>
      </c>
      <c r="F156" s="6" t="s">
        <v>655</v>
      </c>
      <c r="G156" s="2"/>
      <c r="H156" s="2"/>
      <c r="I156" s="2"/>
      <c r="J156" s="2"/>
      <c r="K156" s="2"/>
      <c r="L156" s="3"/>
    </row>
    <row r="157" spans="1:12" ht="28.5" hidden="1">
      <c r="A157" s="3" t="s">
        <v>656</v>
      </c>
      <c r="B157" s="8" t="s">
        <v>657</v>
      </c>
      <c r="C157" s="1" t="s">
        <v>658</v>
      </c>
      <c r="D157" s="6" t="s">
        <v>659</v>
      </c>
      <c r="E157" s="2" t="s">
        <v>658</v>
      </c>
      <c r="F157" s="6" t="s">
        <v>655</v>
      </c>
      <c r="G157" s="2"/>
      <c r="H157" s="2"/>
      <c r="I157" s="2"/>
      <c r="J157" s="2"/>
      <c r="K157" s="2"/>
      <c r="L157" s="3"/>
    </row>
    <row r="158" spans="1:12" hidden="1">
      <c r="A158" s="3" t="s">
        <v>106</v>
      </c>
      <c r="B158" s="4" t="s">
        <v>146</v>
      </c>
      <c r="C158" s="1" t="s">
        <v>147</v>
      </c>
      <c r="D158" s="2" t="s">
        <v>148</v>
      </c>
      <c r="E158" s="2"/>
      <c r="F158" s="2"/>
      <c r="G158" s="2"/>
      <c r="H158" s="2"/>
      <c r="I158" s="2"/>
      <c r="J158" s="2"/>
      <c r="K158" s="2"/>
      <c r="L158" s="3"/>
    </row>
    <row r="159" spans="1:12" hidden="1">
      <c r="A159" s="3" t="s">
        <v>106</v>
      </c>
      <c r="B159" s="4" t="s">
        <v>107</v>
      </c>
      <c r="C159" s="1" t="s">
        <v>149</v>
      </c>
      <c r="D159" s="2" t="s">
        <v>150</v>
      </c>
      <c r="E159" s="2"/>
      <c r="F159" s="2"/>
      <c r="G159" s="2"/>
      <c r="H159" s="2"/>
      <c r="I159" s="2"/>
      <c r="J159" s="2"/>
      <c r="K159" s="2"/>
      <c r="L159" s="3"/>
    </row>
    <row r="160" spans="1:12" hidden="1">
      <c r="A160" s="3" t="s">
        <v>106</v>
      </c>
      <c r="B160" s="4" t="s">
        <v>107</v>
      </c>
      <c r="C160" s="1" t="s">
        <v>151</v>
      </c>
      <c r="D160" s="2" t="s">
        <v>152</v>
      </c>
      <c r="E160" s="2"/>
      <c r="F160" s="2"/>
      <c r="G160" s="2"/>
      <c r="H160" s="2"/>
      <c r="I160" s="2"/>
      <c r="J160" s="2"/>
      <c r="K160" s="2"/>
      <c r="L160" s="3"/>
    </row>
    <row r="161" spans="1:12" hidden="1">
      <c r="A161" s="3" t="s">
        <v>106</v>
      </c>
      <c r="B161" s="4" t="s">
        <v>107</v>
      </c>
      <c r="C161" s="1" t="s">
        <v>153</v>
      </c>
      <c r="D161" s="2" t="s">
        <v>154</v>
      </c>
      <c r="E161" s="2"/>
      <c r="F161" s="2"/>
      <c r="G161" s="2"/>
      <c r="H161" s="2"/>
      <c r="I161" s="2"/>
      <c r="J161" s="2"/>
      <c r="K161" s="2"/>
      <c r="L161" s="3"/>
    </row>
    <row r="162" spans="1:12" hidden="1">
      <c r="A162" s="3" t="s">
        <v>106</v>
      </c>
      <c r="B162" s="4" t="s">
        <v>107</v>
      </c>
      <c r="C162" s="1" t="s">
        <v>155</v>
      </c>
      <c r="D162" s="2" t="s">
        <v>156</v>
      </c>
      <c r="E162" s="2"/>
      <c r="F162" s="2"/>
      <c r="G162" s="2"/>
      <c r="H162" s="2"/>
      <c r="I162" s="2"/>
      <c r="J162" s="2"/>
      <c r="K162" s="2"/>
      <c r="L162" s="3"/>
    </row>
    <row r="163" spans="1:12" hidden="1">
      <c r="A163" s="3" t="s">
        <v>106</v>
      </c>
      <c r="B163" s="4" t="s">
        <v>107</v>
      </c>
      <c r="C163" s="1" t="s">
        <v>157</v>
      </c>
      <c r="D163" s="2" t="s">
        <v>158</v>
      </c>
      <c r="E163" s="1" t="s">
        <v>157</v>
      </c>
      <c r="F163" s="6" t="s">
        <v>655</v>
      </c>
      <c r="G163" s="2"/>
      <c r="H163" s="2"/>
      <c r="I163" s="2"/>
      <c r="J163" s="2"/>
      <c r="K163" s="2"/>
      <c r="L163" s="3"/>
    </row>
    <row r="164" spans="1:12" hidden="1">
      <c r="A164" s="3" t="s">
        <v>106</v>
      </c>
      <c r="B164" s="4" t="s">
        <v>107</v>
      </c>
      <c r="C164" s="1" t="s">
        <v>159</v>
      </c>
      <c r="D164" s="2" t="s">
        <v>160</v>
      </c>
      <c r="E164" s="2"/>
      <c r="F164" s="2"/>
      <c r="G164" s="2"/>
      <c r="H164" s="2"/>
      <c r="I164" s="2"/>
      <c r="J164" s="2"/>
      <c r="K164" s="2"/>
      <c r="L164" s="3"/>
    </row>
    <row r="165" spans="1:12" hidden="1">
      <c r="A165" s="3" t="s">
        <v>106</v>
      </c>
      <c r="B165" s="4" t="s">
        <v>107</v>
      </c>
      <c r="C165" s="1" t="s">
        <v>161</v>
      </c>
      <c r="D165" s="2" t="s">
        <v>162</v>
      </c>
      <c r="E165" s="2"/>
      <c r="F165" s="2"/>
      <c r="G165" s="2"/>
      <c r="H165" s="2"/>
      <c r="I165" s="2"/>
      <c r="J165" s="2"/>
      <c r="K165" s="2"/>
      <c r="L165" s="3"/>
    </row>
    <row r="166" spans="1:12" hidden="1">
      <c r="A166" s="3" t="s">
        <v>106</v>
      </c>
      <c r="B166" s="4" t="s">
        <v>107</v>
      </c>
      <c r="C166" s="1" t="s">
        <v>163</v>
      </c>
      <c r="D166" s="2" t="s">
        <v>164</v>
      </c>
      <c r="E166" s="2"/>
      <c r="F166" s="2"/>
      <c r="G166" s="2"/>
      <c r="H166" s="2"/>
      <c r="I166" s="2"/>
      <c r="J166" s="2"/>
      <c r="K166" s="2"/>
      <c r="L166" s="3"/>
    </row>
    <row r="167" spans="1:12" hidden="1">
      <c r="A167" s="3" t="s">
        <v>106</v>
      </c>
      <c r="B167" s="4" t="s">
        <v>165</v>
      </c>
      <c r="C167" s="1" t="s">
        <v>166</v>
      </c>
      <c r="D167" s="2" t="s">
        <v>167</v>
      </c>
      <c r="E167" s="2"/>
      <c r="F167" s="6"/>
      <c r="G167" s="2"/>
      <c r="H167" s="2"/>
      <c r="I167" s="2"/>
      <c r="J167" s="2"/>
      <c r="K167" s="2"/>
      <c r="L167" s="3"/>
    </row>
    <row r="168" spans="1:12" hidden="1">
      <c r="A168" s="3" t="s">
        <v>106</v>
      </c>
      <c r="B168" s="4" t="s">
        <v>165</v>
      </c>
      <c r="C168" s="1" t="s">
        <v>168</v>
      </c>
      <c r="D168" s="2" t="s">
        <v>169</v>
      </c>
      <c r="E168" s="2"/>
      <c r="F168" s="2"/>
      <c r="G168" s="2"/>
      <c r="H168" s="2"/>
      <c r="I168" s="2"/>
      <c r="J168" s="2"/>
      <c r="K168" s="2"/>
      <c r="L168" s="3"/>
    </row>
    <row r="169" spans="1:12" hidden="1">
      <c r="A169" s="3" t="s">
        <v>106</v>
      </c>
      <c r="B169" s="4" t="s">
        <v>165</v>
      </c>
      <c r="C169" s="1" t="s">
        <v>170</v>
      </c>
      <c r="D169" s="2" t="s">
        <v>171</v>
      </c>
      <c r="E169" s="2"/>
      <c r="F169" s="2"/>
      <c r="G169" s="2"/>
      <c r="H169" s="2"/>
      <c r="I169" s="2"/>
      <c r="J169" s="2"/>
      <c r="K169" s="2"/>
      <c r="L169" s="3"/>
    </row>
    <row r="170" spans="1:12" hidden="1">
      <c r="A170" s="3" t="s">
        <v>106</v>
      </c>
      <c r="B170" s="4" t="s">
        <v>165</v>
      </c>
      <c r="C170" s="1" t="s">
        <v>172</v>
      </c>
      <c r="D170" s="2" t="s">
        <v>173</v>
      </c>
      <c r="E170" s="2"/>
      <c r="F170" s="2"/>
      <c r="G170" s="2"/>
      <c r="H170" s="2"/>
      <c r="I170" s="2"/>
      <c r="J170" s="2"/>
      <c r="K170" s="2"/>
      <c r="L170" s="3"/>
    </row>
    <row r="171" spans="1:12" hidden="1">
      <c r="A171" s="3" t="s">
        <v>106</v>
      </c>
      <c r="B171" s="4" t="s">
        <v>165</v>
      </c>
      <c r="C171" s="1" t="s">
        <v>174</v>
      </c>
      <c r="D171" s="2" t="s">
        <v>175</v>
      </c>
      <c r="E171" s="2"/>
      <c r="F171" s="2"/>
      <c r="G171" s="2"/>
      <c r="H171" s="2"/>
      <c r="I171" s="2"/>
      <c r="J171" s="2"/>
      <c r="K171" s="2"/>
      <c r="L171" s="3"/>
    </row>
    <row r="172" spans="1:12" hidden="1">
      <c r="A172" s="3" t="s">
        <v>106</v>
      </c>
      <c r="B172" s="4" t="s">
        <v>165</v>
      </c>
      <c r="C172" s="1" t="s">
        <v>176</v>
      </c>
      <c r="D172" s="2" t="s">
        <v>177</v>
      </c>
      <c r="E172" s="2"/>
      <c r="F172" s="2"/>
      <c r="G172" s="2"/>
      <c r="H172" s="2"/>
      <c r="I172" s="2"/>
      <c r="J172" s="2"/>
      <c r="K172" s="2"/>
      <c r="L172" s="3"/>
    </row>
    <row r="173" spans="1:12" hidden="1">
      <c r="A173" s="3" t="s">
        <v>106</v>
      </c>
      <c r="B173" s="4" t="s">
        <v>165</v>
      </c>
      <c r="C173" s="1" t="s">
        <v>178</v>
      </c>
      <c r="D173" s="2" t="s">
        <v>179</v>
      </c>
      <c r="E173" s="2"/>
      <c r="F173" s="2"/>
      <c r="G173" s="2"/>
      <c r="H173" s="2"/>
      <c r="I173" s="2"/>
      <c r="J173" s="2"/>
      <c r="K173" s="2"/>
      <c r="L173" s="3"/>
    </row>
    <row r="174" spans="1:12" hidden="1">
      <c r="A174" s="3" t="s">
        <v>106</v>
      </c>
      <c r="B174" s="4" t="s">
        <v>165</v>
      </c>
      <c r="C174" s="1" t="s">
        <v>180</v>
      </c>
      <c r="D174" s="2" t="s">
        <v>181</v>
      </c>
      <c r="E174" s="2"/>
      <c r="F174" s="2"/>
      <c r="G174" s="2"/>
      <c r="H174" s="2"/>
      <c r="I174" s="2"/>
      <c r="J174" s="2"/>
      <c r="K174" s="2"/>
      <c r="L174" s="3"/>
    </row>
    <row r="175" spans="1:12" hidden="1">
      <c r="A175" s="3" t="s">
        <v>106</v>
      </c>
      <c r="B175" s="4" t="s">
        <v>165</v>
      </c>
      <c r="C175" s="1" t="s">
        <v>182</v>
      </c>
      <c r="D175" s="2" t="s">
        <v>183</v>
      </c>
      <c r="E175" s="2"/>
      <c r="F175" s="2"/>
      <c r="G175" s="2"/>
      <c r="H175" s="2"/>
      <c r="I175" s="2"/>
      <c r="J175" s="2"/>
      <c r="K175" s="2"/>
      <c r="L175" s="3"/>
    </row>
    <row r="176" spans="1:12" hidden="1">
      <c r="A176" s="3" t="s">
        <v>106</v>
      </c>
      <c r="B176" s="4" t="s">
        <v>165</v>
      </c>
      <c r="C176" s="1" t="s">
        <v>184</v>
      </c>
      <c r="D176" s="2" t="s">
        <v>185</v>
      </c>
      <c r="E176" s="2"/>
      <c r="F176" s="2"/>
      <c r="G176" s="2"/>
      <c r="H176" s="2"/>
      <c r="I176" s="2"/>
      <c r="J176" s="2"/>
      <c r="K176" s="2"/>
      <c r="L176" s="3"/>
    </row>
    <row r="177" spans="1:12" hidden="1">
      <c r="A177" s="3" t="s">
        <v>106</v>
      </c>
      <c r="B177" s="4" t="s">
        <v>165</v>
      </c>
      <c r="C177" s="1" t="s">
        <v>186</v>
      </c>
      <c r="D177" s="2" t="s">
        <v>187</v>
      </c>
      <c r="E177" s="2"/>
      <c r="F177" s="2"/>
      <c r="G177" s="2"/>
      <c r="H177" s="2"/>
      <c r="I177" s="2"/>
      <c r="J177" s="2"/>
      <c r="K177" s="2"/>
      <c r="L177" s="3"/>
    </row>
    <row r="178" spans="1:12" hidden="1">
      <c r="A178" s="3" t="s">
        <v>106</v>
      </c>
      <c r="B178" s="4" t="s">
        <v>165</v>
      </c>
      <c r="C178" s="1" t="s">
        <v>188</v>
      </c>
      <c r="D178" s="2" t="s">
        <v>189</v>
      </c>
      <c r="E178" s="2"/>
      <c r="F178" s="2"/>
      <c r="G178" s="2"/>
      <c r="H178" s="2"/>
      <c r="I178" s="2"/>
      <c r="J178" s="2"/>
      <c r="K178" s="2"/>
      <c r="L178" s="3"/>
    </row>
    <row r="179" spans="1:12" hidden="1">
      <c r="A179" s="3" t="s">
        <v>106</v>
      </c>
      <c r="B179" s="4" t="s">
        <v>165</v>
      </c>
      <c r="C179" s="1" t="s">
        <v>190</v>
      </c>
      <c r="D179" s="2" t="s">
        <v>191</v>
      </c>
      <c r="E179" s="2"/>
      <c r="F179" s="2"/>
      <c r="G179" s="2"/>
      <c r="H179" s="2"/>
      <c r="I179" s="2"/>
      <c r="J179" s="2"/>
      <c r="K179" s="2"/>
      <c r="L179" s="3"/>
    </row>
    <row r="180" spans="1:12" hidden="1">
      <c r="A180" s="3" t="s">
        <v>106</v>
      </c>
      <c r="B180" s="4" t="s">
        <v>165</v>
      </c>
      <c r="C180" s="1" t="s">
        <v>192</v>
      </c>
      <c r="D180" s="2" t="s">
        <v>193</v>
      </c>
      <c r="E180" s="2"/>
      <c r="F180" s="2"/>
      <c r="G180" s="2"/>
      <c r="H180" s="2"/>
      <c r="I180" s="2"/>
      <c r="J180" s="2"/>
      <c r="K180" s="2"/>
      <c r="L180" s="3"/>
    </row>
    <row r="181" spans="1:12" hidden="1">
      <c r="A181" s="3" t="s">
        <v>106</v>
      </c>
      <c r="B181" s="4" t="s">
        <v>107</v>
      </c>
      <c r="C181" s="1" t="s">
        <v>194</v>
      </c>
      <c r="D181" s="2" t="s">
        <v>195</v>
      </c>
      <c r="E181" s="2"/>
      <c r="F181" s="2"/>
      <c r="G181" s="2"/>
      <c r="H181" s="2"/>
      <c r="I181" s="2"/>
      <c r="J181" s="2"/>
      <c r="K181" s="2"/>
      <c r="L181" s="3"/>
    </row>
    <row r="182" spans="1:12" hidden="1">
      <c r="A182" s="3" t="s">
        <v>106</v>
      </c>
      <c r="B182" s="4" t="s">
        <v>165</v>
      </c>
      <c r="C182" s="1" t="s">
        <v>196</v>
      </c>
      <c r="D182" s="2" t="s">
        <v>197</v>
      </c>
      <c r="E182" s="2"/>
      <c r="F182" s="2"/>
      <c r="G182" s="2"/>
      <c r="H182" s="2"/>
      <c r="I182" s="2"/>
      <c r="J182" s="2"/>
      <c r="K182" s="2"/>
      <c r="L182" s="3"/>
    </row>
    <row r="183" spans="1:12" hidden="1">
      <c r="A183" s="3" t="s">
        <v>106</v>
      </c>
      <c r="B183" s="4" t="s">
        <v>107</v>
      </c>
      <c r="C183" s="1" t="s">
        <v>198</v>
      </c>
      <c r="D183" s="2" t="s">
        <v>199</v>
      </c>
      <c r="E183" s="2"/>
      <c r="F183" s="2"/>
      <c r="G183" s="2"/>
      <c r="H183" s="2"/>
      <c r="I183" s="2"/>
      <c r="J183" s="2"/>
      <c r="K183" s="2"/>
      <c r="L183" s="3"/>
    </row>
    <row r="184" spans="1:12" hidden="1">
      <c r="A184" s="3" t="s">
        <v>106</v>
      </c>
      <c r="B184" s="4" t="s">
        <v>107</v>
      </c>
      <c r="C184" s="1" t="s">
        <v>200</v>
      </c>
      <c r="D184" s="2" t="s">
        <v>119</v>
      </c>
      <c r="E184" s="1" t="s">
        <v>200</v>
      </c>
      <c r="F184" s="6" t="s">
        <v>655</v>
      </c>
      <c r="G184" s="2"/>
      <c r="H184" s="2"/>
      <c r="I184" s="2"/>
      <c r="J184" s="2"/>
      <c r="K184" s="2"/>
      <c r="L184" s="3"/>
    </row>
    <row r="185" spans="1:12" hidden="1">
      <c r="A185" s="3" t="s">
        <v>106</v>
      </c>
      <c r="B185" s="4" t="s">
        <v>107</v>
      </c>
      <c r="C185" s="1" t="s">
        <v>201</v>
      </c>
      <c r="D185" s="2" t="s">
        <v>202</v>
      </c>
      <c r="E185" s="2"/>
      <c r="F185" s="2"/>
      <c r="G185" s="2"/>
      <c r="H185" s="2"/>
      <c r="I185" s="2"/>
      <c r="J185" s="2"/>
      <c r="K185" s="2"/>
      <c r="L185" s="3"/>
    </row>
    <row r="186" spans="1:12" ht="28.5" hidden="1">
      <c r="A186" s="3" t="s">
        <v>106</v>
      </c>
      <c r="B186" s="4" t="s">
        <v>107</v>
      </c>
      <c r="C186" s="1" t="s">
        <v>203</v>
      </c>
      <c r="D186" s="2" t="s">
        <v>204</v>
      </c>
      <c r="E186" s="2"/>
      <c r="F186" s="2"/>
      <c r="G186" s="2"/>
      <c r="H186" s="2"/>
      <c r="I186" s="2"/>
      <c r="J186" s="2"/>
      <c r="K186" s="2"/>
      <c r="L186" s="3"/>
    </row>
    <row r="187" spans="1:12" hidden="1">
      <c r="A187" s="3" t="s">
        <v>106</v>
      </c>
      <c r="B187" s="4" t="s">
        <v>107</v>
      </c>
      <c r="C187" s="1" t="s">
        <v>205</v>
      </c>
      <c r="D187" s="2" t="s">
        <v>206</v>
      </c>
      <c r="E187" s="2"/>
      <c r="F187" s="2"/>
      <c r="G187" s="2"/>
      <c r="H187" s="2"/>
      <c r="I187" s="2"/>
      <c r="J187" s="2"/>
      <c r="K187" s="2"/>
      <c r="L187" s="3"/>
    </row>
    <row r="188" spans="1:12" ht="27" hidden="1">
      <c r="A188" s="3" t="s">
        <v>106</v>
      </c>
      <c r="B188" s="4" t="s">
        <v>107</v>
      </c>
      <c r="C188" s="1" t="s">
        <v>207</v>
      </c>
      <c r="D188" s="2" t="s">
        <v>654</v>
      </c>
      <c r="E188" s="2"/>
      <c r="F188" s="2"/>
      <c r="G188" s="2"/>
      <c r="H188" s="2"/>
      <c r="I188" s="2"/>
      <c r="J188" s="2"/>
      <c r="K188" s="2"/>
      <c r="L188" s="3"/>
    </row>
    <row r="189" spans="1:12" hidden="1">
      <c r="A189" s="3" t="s">
        <v>208</v>
      </c>
      <c r="B189" s="4" t="s">
        <v>18</v>
      </c>
      <c r="C189" s="1" t="s">
        <v>209</v>
      </c>
      <c r="D189" s="2" t="s">
        <v>210</v>
      </c>
      <c r="E189" s="2"/>
      <c r="F189" s="2"/>
      <c r="G189" s="2"/>
      <c r="H189" s="2"/>
      <c r="I189" s="2"/>
      <c r="J189" s="2"/>
      <c r="K189" s="2"/>
      <c r="L189" s="3"/>
    </row>
    <row r="190" spans="1:12" hidden="1">
      <c r="A190" s="3" t="s">
        <v>208</v>
      </c>
      <c r="B190" s="4" t="s">
        <v>18</v>
      </c>
      <c r="C190" s="1" t="s">
        <v>211</v>
      </c>
      <c r="D190" s="2" t="s">
        <v>212</v>
      </c>
      <c r="E190" s="2"/>
      <c r="F190" s="2"/>
      <c r="G190" s="2"/>
      <c r="H190" s="2"/>
      <c r="I190" s="2"/>
      <c r="J190" s="2"/>
      <c r="K190" s="2"/>
      <c r="L190" s="3"/>
    </row>
    <row r="191" spans="1:12" hidden="1">
      <c r="A191" s="3" t="s">
        <v>208</v>
      </c>
      <c r="B191" s="4" t="s">
        <v>18</v>
      </c>
      <c r="C191" s="1" t="s">
        <v>213</v>
      </c>
      <c r="D191" s="2" t="s">
        <v>214</v>
      </c>
      <c r="E191" s="2"/>
      <c r="F191" s="2"/>
      <c r="G191" s="2"/>
      <c r="H191" s="2"/>
      <c r="I191" s="2"/>
      <c r="J191" s="2"/>
      <c r="K191" s="2"/>
      <c r="L191" s="3"/>
    </row>
    <row r="192" spans="1:12" ht="42.75" hidden="1">
      <c r="A192" s="14" t="s">
        <v>702</v>
      </c>
      <c r="B192" s="14" t="s">
        <v>703</v>
      </c>
      <c r="C192" s="14" t="s">
        <v>710</v>
      </c>
      <c r="D192" s="16" t="s">
        <v>711</v>
      </c>
      <c r="E192" s="14"/>
      <c r="F192" s="14"/>
      <c r="G192" s="14" t="s">
        <v>712</v>
      </c>
      <c r="H192" s="3"/>
      <c r="I192" s="3"/>
      <c r="J192" s="3"/>
      <c r="K192" s="3"/>
      <c r="L192" s="3"/>
    </row>
    <row r="193" spans="1:12" ht="42.75" hidden="1">
      <c r="A193" s="14" t="s">
        <v>702</v>
      </c>
      <c r="B193" s="14" t="s">
        <v>703</v>
      </c>
      <c r="C193" s="14" t="s">
        <v>713</v>
      </c>
      <c r="D193" s="16" t="s">
        <v>726</v>
      </c>
      <c r="E193" s="14"/>
      <c r="F193" s="14"/>
      <c r="G193" s="14" t="s">
        <v>712</v>
      </c>
      <c r="H193" s="3"/>
      <c r="I193" s="3"/>
      <c r="J193" s="3"/>
      <c r="K193" s="3"/>
      <c r="L193" s="3"/>
    </row>
    <row r="194" spans="1:12" ht="42.75" hidden="1">
      <c r="A194" s="14" t="s">
        <v>702</v>
      </c>
      <c r="B194" s="14" t="s">
        <v>703</v>
      </c>
      <c r="C194" s="14" t="s">
        <v>714</v>
      </c>
      <c r="D194" s="16" t="s">
        <v>727</v>
      </c>
      <c r="E194" s="14"/>
      <c r="F194" s="14"/>
      <c r="G194" s="14" t="s">
        <v>712</v>
      </c>
      <c r="H194" s="3"/>
      <c r="I194" s="3"/>
      <c r="J194" s="3"/>
      <c r="K194" s="3"/>
      <c r="L194" s="3"/>
    </row>
    <row r="195" spans="1:12" ht="28.5" hidden="1">
      <c r="A195" s="14" t="s">
        <v>702</v>
      </c>
      <c r="B195" s="14" t="s">
        <v>703</v>
      </c>
      <c r="C195" s="14" t="s">
        <v>715</v>
      </c>
      <c r="D195" s="16" t="s">
        <v>716</v>
      </c>
      <c r="E195" s="14"/>
      <c r="F195" s="14"/>
      <c r="G195" s="14" t="s">
        <v>712</v>
      </c>
      <c r="H195" s="3"/>
      <c r="I195" s="3"/>
      <c r="J195" s="3"/>
      <c r="K195" s="3"/>
      <c r="L195" s="3"/>
    </row>
    <row r="196" spans="1:12" ht="28.5" hidden="1">
      <c r="A196" s="14" t="s">
        <v>702</v>
      </c>
      <c r="B196" s="14" t="s">
        <v>703</v>
      </c>
      <c r="C196" s="14" t="s">
        <v>717</v>
      </c>
      <c r="D196" s="16" t="s">
        <v>718</v>
      </c>
      <c r="E196" s="14"/>
      <c r="F196" s="14"/>
      <c r="G196" s="14" t="s">
        <v>712</v>
      </c>
      <c r="H196" s="3"/>
      <c r="I196" s="3"/>
      <c r="J196" s="3"/>
      <c r="K196" s="3"/>
      <c r="L196" s="3"/>
    </row>
    <row r="197" spans="1:12" ht="28.5" hidden="1">
      <c r="A197" s="14" t="s">
        <v>702</v>
      </c>
      <c r="B197" s="14" t="s">
        <v>703</v>
      </c>
      <c r="C197" s="14" t="s">
        <v>719</v>
      </c>
      <c r="D197" s="16" t="s">
        <v>728</v>
      </c>
      <c r="E197" s="14"/>
      <c r="F197" s="14"/>
      <c r="G197" s="14" t="s">
        <v>712</v>
      </c>
      <c r="H197" s="3"/>
      <c r="I197" s="3"/>
      <c r="J197" s="3"/>
      <c r="K197" s="3"/>
      <c r="L197" s="3"/>
    </row>
    <row r="198" spans="1:12" ht="27" hidden="1">
      <c r="A198" s="3" t="s">
        <v>208</v>
      </c>
      <c r="B198" s="4" t="s">
        <v>18</v>
      </c>
      <c r="C198" s="1" t="s">
        <v>215</v>
      </c>
      <c r="D198" s="2" t="s">
        <v>216</v>
      </c>
      <c r="E198" s="1" t="s">
        <v>215</v>
      </c>
      <c r="F198" s="6" t="s">
        <v>655</v>
      </c>
      <c r="G198" s="2"/>
      <c r="H198" s="2"/>
      <c r="I198" s="2"/>
      <c r="J198" s="2"/>
      <c r="K198" s="2"/>
      <c r="L198" s="3"/>
    </row>
    <row r="199" spans="1:12" hidden="1">
      <c r="A199" s="3" t="s">
        <v>208</v>
      </c>
      <c r="B199" s="4" t="s">
        <v>18</v>
      </c>
      <c r="C199" s="1" t="s">
        <v>217</v>
      </c>
      <c r="D199" s="2" t="s">
        <v>218</v>
      </c>
      <c r="E199" s="2"/>
      <c r="F199" s="2"/>
      <c r="G199" s="2"/>
      <c r="H199" s="2"/>
      <c r="I199" s="2"/>
      <c r="J199" s="2"/>
      <c r="K199" s="2"/>
      <c r="L199" s="3"/>
    </row>
    <row r="200" spans="1:12" hidden="1">
      <c r="A200" s="3" t="s">
        <v>208</v>
      </c>
      <c r="B200" s="4" t="s">
        <v>219</v>
      </c>
      <c r="C200" s="1" t="s">
        <v>220</v>
      </c>
      <c r="D200" s="2" t="s">
        <v>221</v>
      </c>
      <c r="E200" s="2" t="s">
        <v>671</v>
      </c>
      <c r="F200" s="6" t="s">
        <v>655</v>
      </c>
      <c r="G200" s="2"/>
      <c r="H200" s="2"/>
      <c r="I200" s="2"/>
      <c r="J200" s="2"/>
      <c r="K200" s="2"/>
      <c r="L200" s="3"/>
    </row>
    <row r="201" spans="1:12" hidden="1">
      <c r="A201" s="3" t="s">
        <v>208</v>
      </c>
      <c r="B201" s="4" t="s">
        <v>219</v>
      </c>
      <c r="C201" s="1" t="s">
        <v>222</v>
      </c>
      <c r="D201" s="2" t="s">
        <v>223</v>
      </c>
      <c r="E201" s="2" t="s">
        <v>671</v>
      </c>
      <c r="F201" s="6" t="s">
        <v>655</v>
      </c>
      <c r="G201" s="2"/>
      <c r="H201" s="2"/>
      <c r="I201" s="2"/>
      <c r="J201" s="2"/>
      <c r="K201" s="2"/>
      <c r="L201" s="3"/>
    </row>
    <row r="202" spans="1:12" hidden="1">
      <c r="A202" s="3" t="s">
        <v>208</v>
      </c>
      <c r="B202" s="4" t="s">
        <v>219</v>
      </c>
      <c r="C202" s="1" t="s">
        <v>224</v>
      </c>
      <c r="D202" s="2" t="s">
        <v>225</v>
      </c>
      <c r="E202" s="2"/>
      <c r="F202" s="2"/>
      <c r="G202" s="2"/>
      <c r="H202" s="2"/>
      <c r="I202" s="2"/>
      <c r="J202" s="2"/>
      <c r="K202" s="2"/>
      <c r="L202" s="3"/>
    </row>
    <row r="203" spans="1:12" hidden="1">
      <c r="A203" s="3" t="s">
        <v>208</v>
      </c>
      <c r="B203" s="4" t="s">
        <v>219</v>
      </c>
      <c r="C203" s="1" t="s">
        <v>226</v>
      </c>
      <c r="D203" s="2" t="s">
        <v>227</v>
      </c>
      <c r="E203" s="2"/>
      <c r="F203" s="2"/>
      <c r="G203" s="2"/>
      <c r="H203" s="2"/>
      <c r="I203" s="2"/>
      <c r="J203" s="2"/>
      <c r="K203" s="2"/>
      <c r="L203" s="3"/>
    </row>
    <row r="204" spans="1:12" ht="42.75" hidden="1">
      <c r="A204" s="14" t="s">
        <v>702</v>
      </c>
      <c r="B204" s="14" t="s">
        <v>703</v>
      </c>
      <c r="C204" s="14" t="s">
        <v>704</v>
      </c>
      <c r="D204" s="15" t="s">
        <v>705</v>
      </c>
      <c r="E204" s="14"/>
      <c r="F204" s="14"/>
      <c r="G204" s="14" t="s">
        <v>712</v>
      </c>
      <c r="H204" s="3"/>
      <c r="I204" s="3"/>
      <c r="J204" s="3"/>
      <c r="K204" s="3"/>
      <c r="L204" s="3"/>
    </row>
    <row r="205" spans="1:12" ht="42.75" hidden="1">
      <c r="A205" s="14" t="s">
        <v>702</v>
      </c>
      <c r="B205" s="14" t="s">
        <v>703</v>
      </c>
      <c r="C205" s="14" t="s">
        <v>706</v>
      </c>
      <c r="D205" s="15" t="s">
        <v>707</v>
      </c>
      <c r="E205" s="14"/>
      <c r="F205" s="14"/>
      <c r="G205" s="14" t="s">
        <v>712</v>
      </c>
      <c r="H205" s="3"/>
      <c r="I205" s="3"/>
      <c r="J205" s="3"/>
      <c r="K205" s="3"/>
      <c r="L205" s="3"/>
    </row>
    <row r="206" spans="1:12" ht="42.75" hidden="1">
      <c r="A206" s="14" t="s">
        <v>702</v>
      </c>
      <c r="B206" s="14" t="s">
        <v>703</v>
      </c>
      <c r="C206" s="14" t="s">
        <v>708</v>
      </c>
      <c r="D206" s="15" t="s">
        <v>709</v>
      </c>
      <c r="E206" s="14"/>
      <c r="F206" s="14"/>
      <c r="G206" s="14" t="s">
        <v>712</v>
      </c>
      <c r="H206" s="3"/>
      <c r="I206" s="3"/>
      <c r="J206" s="3"/>
      <c r="K206" s="3"/>
      <c r="L206" s="3"/>
    </row>
    <row r="207" spans="1:12" hidden="1">
      <c r="A207" s="3" t="s">
        <v>208</v>
      </c>
      <c r="B207" s="4" t="s">
        <v>219</v>
      </c>
      <c r="C207" s="1" t="s">
        <v>228</v>
      </c>
      <c r="D207" s="2" t="s">
        <v>229</v>
      </c>
      <c r="E207" s="6"/>
      <c r="F207" s="2"/>
      <c r="G207" s="2"/>
      <c r="H207" s="2"/>
      <c r="I207" s="2"/>
      <c r="J207" s="2"/>
      <c r="K207" s="2"/>
      <c r="L207" s="3"/>
    </row>
    <row r="208" spans="1:12" hidden="1">
      <c r="A208" s="3" t="s">
        <v>208</v>
      </c>
      <c r="B208" s="4" t="s">
        <v>230</v>
      </c>
      <c r="C208" s="1" t="s">
        <v>231</v>
      </c>
      <c r="D208" s="2" t="s">
        <v>232</v>
      </c>
      <c r="E208" s="2"/>
      <c r="F208" s="2"/>
      <c r="G208" s="2"/>
      <c r="H208" s="2"/>
      <c r="I208" s="2"/>
      <c r="J208" s="2"/>
      <c r="K208" s="2"/>
      <c r="L208" s="3"/>
    </row>
    <row r="209" spans="1:12" hidden="1">
      <c r="A209" s="3" t="s">
        <v>208</v>
      </c>
      <c r="B209" s="4" t="s">
        <v>230</v>
      </c>
      <c r="C209" s="1" t="s">
        <v>233</v>
      </c>
      <c r="D209" s="2" t="s">
        <v>234</v>
      </c>
      <c r="E209" s="2"/>
      <c r="F209" s="2"/>
      <c r="G209" s="2"/>
      <c r="H209" s="2"/>
      <c r="I209" s="2"/>
      <c r="J209" s="2"/>
      <c r="K209" s="2"/>
      <c r="L209" s="3"/>
    </row>
    <row r="210" spans="1:12" hidden="1">
      <c r="A210" s="3" t="s">
        <v>208</v>
      </c>
      <c r="B210" s="4" t="s">
        <v>230</v>
      </c>
      <c r="C210" s="1" t="s">
        <v>235</v>
      </c>
      <c r="D210" s="2" t="s">
        <v>236</v>
      </c>
      <c r="E210" s="2"/>
      <c r="F210" s="2"/>
      <c r="G210" s="2"/>
      <c r="H210" s="2"/>
      <c r="I210" s="2"/>
      <c r="J210" s="2"/>
      <c r="K210" s="2"/>
      <c r="L210" s="3"/>
    </row>
    <row r="211" spans="1:12" hidden="1">
      <c r="A211" s="3" t="s">
        <v>208</v>
      </c>
      <c r="B211" s="4" t="s">
        <v>230</v>
      </c>
      <c r="C211" s="1" t="s">
        <v>237</v>
      </c>
      <c r="D211" s="2" t="s">
        <v>238</v>
      </c>
      <c r="E211" s="2"/>
      <c r="F211" s="2"/>
      <c r="G211" s="2"/>
      <c r="H211" s="2"/>
      <c r="I211" s="2"/>
      <c r="J211" s="2"/>
      <c r="K211" s="2"/>
      <c r="L211" s="3"/>
    </row>
    <row r="212" spans="1:12" hidden="1">
      <c r="A212" s="3" t="s">
        <v>208</v>
      </c>
      <c r="B212" s="4" t="s">
        <v>230</v>
      </c>
      <c r="C212" s="1" t="s">
        <v>239</v>
      </c>
      <c r="D212" s="2" t="s">
        <v>240</v>
      </c>
      <c r="E212" s="2"/>
      <c r="F212" s="2"/>
      <c r="G212" s="2"/>
      <c r="H212" s="2"/>
      <c r="I212" s="2"/>
      <c r="J212" s="2"/>
      <c r="K212" s="2"/>
      <c r="L212" s="3"/>
    </row>
    <row r="213" spans="1:12" hidden="1">
      <c r="A213" s="3" t="s">
        <v>208</v>
      </c>
      <c r="B213" s="4" t="s">
        <v>219</v>
      </c>
      <c r="C213" s="1" t="s">
        <v>241</v>
      </c>
      <c r="D213" s="2" t="s">
        <v>242</v>
      </c>
      <c r="E213" s="2"/>
      <c r="F213" s="2"/>
      <c r="G213" s="2"/>
      <c r="H213" s="2"/>
      <c r="I213" s="2"/>
      <c r="J213" s="2"/>
      <c r="K213" s="2"/>
      <c r="L213" s="3"/>
    </row>
    <row r="214" spans="1:12" hidden="1">
      <c r="A214" s="3" t="s">
        <v>208</v>
      </c>
      <c r="B214" s="4" t="s">
        <v>219</v>
      </c>
      <c r="C214" s="1" t="s">
        <v>243</v>
      </c>
      <c r="D214" s="2" t="s">
        <v>244</v>
      </c>
      <c r="E214" s="2"/>
      <c r="F214" s="2"/>
      <c r="G214" s="2"/>
      <c r="H214" s="2"/>
      <c r="I214" s="2"/>
      <c r="J214" s="2"/>
      <c r="K214" s="2"/>
      <c r="L214" s="3"/>
    </row>
    <row r="215" spans="1:12" hidden="1">
      <c r="A215" s="3" t="s">
        <v>208</v>
      </c>
      <c r="B215" s="4" t="s">
        <v>230</v>
      </c>
      <c r="C215" s="1" t="s">
        <v>678</v>
      </c>
      <c r="D215" s="6" t="s">
        <v>679</v>
      </c>
      <c r="E215" s="2" t="s">
        <v>678</v>
      </c>
      <c r="F215" s="6" t="s">
        <v>655</v>
      </c>
      <c r="G215" s="2"/>
      <c r="H215" s="2"/>
      <c r="I215" s="2"/>
      <c r="J215" s="2"/>
      <c r="K215" s="2"/>
      <c r="L215" s="3"/>
    </row>
    <row r="216" spans="1:12" hidden="1">
      <c r="A216" s="3" t="s">
        <v>208</v>
      </c>
      <c r="B216" s="4" t="s">
        <v>230</v>
      </c>
      <c r="C216" s="1" t="s">
        <v>245</v>
      </c>
      <c r="D216" s="6" t="s">
        <v>679</v>
      </c>
      <c r="E216" s="2" t="s">
        <v>680</v>
      </c>
      <c r="F216" s="6" t="s">
        <v>655</v>
      </c>
      <c r="G216" s="2"/>
      <c r="H216" s="2"/>
      <c r="I216" s="2"/>
      <c r="J216" s="2"/>
      <c r="K216" s="2"/>
      <c r="L216" s="3"/>
    </row>
    <row r="217" spans="1:12" hidden="1">
      <c r="A217" s="3" t="s">
        <v>208</v>
      </c>
      <c r="B217" s="4" t="s">
        <v>230</v>
      </c>
      <c r="C217" s="1" t="s">
        <v>247</v>
      </c>
      <c r="D217" s="2" t="s">
        <v>248</v>
      </c>
      <c r="E217" s="2"/>
      <c r="F217" s="2"/>
      <c r="G217" s="2"/>
      <c r="H217" s="2"/>
      <c r="I217" s="2"/>
      <c r="J217" s="2"/>
      <c r="K217" s="2"/>
      <c r="L217" s="3"/>
    </row>
    <row r="218" spans="1:12" hidden="1">
      <c r="A218" s="3" t="s">
        <v>208</v>
      </c>
      <c r="B218" s="4" t="s">
        <v>230</v>
      </c>
      <c r="C218" s="1" t="s">
        <v>249</v>
      </c>
      <c r="D218" s="2" t="s">
        <v>250</v>
      </c>
      <c r="E218" s="2"/>
      <c r="F218" s="2"/>
      <c r="G218" s="2"/>
      <c r="H218" s="2"/>
      <c r="I218" s="2"/>
      <c r="J218" s="2"/>
      <c r="K218" s="2"/>
      <c r="L218" s="3"/>
    </row>
    <row r="219" spans="1:12" hidden="1">
      <c r="A219" s="3" t="s">
        <v>208</v>
      </c>
      <c r="B219" s="4" t="s">
        <v>230</v>
      </c>
      <c r="C219" s="1" t="s">
        <v>251</v>
      </c>
      <c r="D219" s="2" t="s">
        <v>252</v>
      </c>
      <c r="E219" s="2"/>
      <c r="F219" s="2"/>
      <c r="G219" s="2"/>
      <c r="H219" s="2"/>
      <c r="I219" s="2"/>
      <c r="J219" s="2"/>
      <c r="K219" s="2"/>
      <c r="L219" s="3"/>
    </row>
    <row r="220" spans="1:12" hidden="1">
      <c r="A220" s="3" t="s">
        <v>208</v>
      </c>
      <c r="B220" s="4" t="s">
        <v>230</v>
      </c>
      <c r="C220" s="1" t="s">
        <v>253</v>
      </c>
      <c r="D220" s="2" t="s">
        <v>254</v>
      </c>
      <c r="E220" s="2"/>
      <c r="F220" s="2"/>
      <c r="G220" s="2"/>
      <c r="H220" s="2"/>
      <c r="I220" s="2"/>
      <c r="J220" s="2"/>
      <c r="K220" s="2"/>
      <c r="L220" s="3"/>
    </row>
    <row r="221" spans="1:12" hidden="1">
      <c r="A221" s="3" t="s">
        <v>208</v>
      </c>
      <c r="B221" s="4" t="s">
        <v>230</v>
      </c>
      <c r="C221" s="1" t="s">
        <v>255</v>
      </c>
      <c r="D221" s="2" t="s">
        <v>256</v>
      </c>
      <c r="E221" s="2"/>
      <c r="F221" s="2"/>
      <c r="G221" s="2"/>
      <c r="H221" s="2"/>
      <c r="I221" s="2"/>
      <c r="J221" s="2"/>
      <c r="K221" s="2"/>
      <c r="L221" s="3"/>
    </row>
    <row r="222" spans="1:12" hidden="1">
      <c r="A222" s="3" t="s">
        <v>208</v>
      </c>
      <c r="B222" s="4" t="s">
        <v>230</v>
      </c>
      <c r="C222" s="1" t="s">
        <v>257</v>
      </c>
      <c r="D222" s="2" t="s">
        <v>250</v>
      </c>
      <c r="E222" s="2" t="s">
        <v>680</v>
      </c>
      <c r="F222" s="6" t="s">
        <v>655</v>
      </c>
      <c r="G222" s="2"/>
      <c r="H222" s="2"/>
      <c r="I222" s="2"/>
      <c r="J222" s="2"/>
      <c r="K222" s="2"/>
      <c r="L222" s="3"/>
    </row>
    <row r="223" spans="1:12" hidden="1">
      <c r="A223" s="3" t="s">
        <v>208</v>
      </c>
      <c r="B223" s="4" t="s">
        <v>230</v>
      </c>
      <c r="C223" s="1" t="s">
        <v>258</v>
      </c>
      <c r="D223" s="2" t="s">
        <v>259</v>
      </c>
      <c r="E223" s="2"/>
      <c r="F223" s="2"/>
      <c r="G223" s="2"/>
      <c r="H223" s="2"/>
      <c r="I223" s="2"/>
      <c r="J223" s="2"/>
      <c r="K223" s="2"/>
      <c r="L223" s="3"/>
    </row>
    <row r="224" spans="1:12" hidden="1">
      <c r="A224" s="3" t="s">
        <v>208</v>
      </c>
      <c r="B224" s="4" t="s">
        <v>230</v>
      </c>
      <c r="C224" s="1" t="s">
        <v>260</v>
      </c>
      <c r="D224" s="2" t="s">
        <v>261</v>
      </c>
      <c r="E224" s="2"/>
      <c r="F224" s="2"/>
      <c r="G224" s="2"/>
      <c r="H224" s="2"/>
      <c r="I224" s="2"/>
      <c r="J224" s="2"/>
      <c r="K224" s="2"/>
      <c r="L224" s="3"/>
    </row>
    <row r="225" spans="1:12" hidden="1">
      <c r="A225" s="3" t="s">
        <v>208</v>
      </c>
      <c r="B225" s="4" t="s">
        <v>230</v>
      </c>
      <c r="C225" s="1" t="s">
        <v>262</v>
      </c>
      <c r="D225" s="2" t="s">
        <v>263</v>
      </c>
      <c r="E225" s="2"/>
      <c r="F225" s="2"/>
      <c r="G225" s="2"/>
      <c r="H225" s="2"/>
      <c r="I225" s="2"/>
      <c r="J225" s="2"/>
      <c r="K225" s="2"/>
      <c r="L225" s="3"/>
    </row>
    <row r="226" spans="1:12" hidden="1">
      <c r="A226" s="3" t="s">
        <v>208</v>
      </c>
      <c r="B226" s="4" t="s">
        <v>230</v>
      </c>
      <c r="C226" s="1" t="s">
        <v>264</v>
      </c>
      <c r="D226" s="2" t="s">
        <v>265</v>
      </c>
      <c r="E226" s="2"/>
      <c r="F226" s="2"/>
      <c r="G226" s="2"/>
      <c r="H226" s="2"/>
      <c r="I226" s="2"/>
      <c r="J226" s="2"/>
      <c r="K226" s="2"/>
      <c r="L226" s="3"/>
    </row>
    <row r="227" spans="1:12" hidden="1">
      <c r="A227" s="3" t="s">
        <v>208</v>
      </c>
      <c r="B227" s="4" t="s">
        <v>230</v>
      </c>
      <c r="C227" s="1" t="s">
        <v>266</v>
      </c>
      <c r="D227" s="2" t="s">
        <v>267</v>
      </c>
      <c r="E227" s="2"/>
      <c r="F227" s="2"/>
      <c r="G227" s="2"/>
      <c r="H227" s="2"/>
      <c r="I227" s="2"/>
      <c r="J227" s="2"/>
      <c r="K227" s="2"/>
      <c r="L227" s="3"/>
    </row>
    <row r="228" spans="1:12" hidden="1">
      <c r="A228" s="3" t="s">
        <v>208</v>
      </c>
      <c r="B228" s="4" t="s">
        <v>18</v>
      </c>
      <c r="C228" s="1" t="s">
        <v>268</v>
      </c>
      <c r="D228" s="2" t="s">
        <v>269</v>
      </c>
      <c r="E228" s="1" t="s">
        <v>617</v>
      </c>
      <c r="F228" s="5" t="s">
        <v>655</v>
      </c>
      <c r="G228" s="2"/>
      <c r="H228" s="2"/>
      <c r="I228" s="2"/>
      <c r="J228" s="2"/>
      <c r="K228" s="2"/>
      <c r="L228" s="3"/>
    </row>
    <row r="229" spans="1:12" hidden="1">
      <c r="A229" s="3" t="s">
        <v>208</v>
      </c>
      <c r="B229" s="4" t="s">
        <v>18</v>
      </c>
      <c r="C229" s="1" t="s">
        <v>270</v>
      </c>
      <c r="D229" s="2" t="s">
        <v>271</v>
      </c>
      <c r="E229" s="2"/>
      <c r="F229" s="2"/>
      <c r="G229" s="2"/>
      <c r="H229" s="2"/>
      <c r="I229" s="2"/>
      <c r="J229" s="2"/>
      <c r="K229" s="2"/>
      <c r="L229" s="3"/>
    </row>
    <row r="230" spans="1:12" hidden="1">
      <c r="A230" s="3" t="s">
        <v>208</v>
      </c>
      <c r="B230" s="4" t="s">
        <v>219</v>
      </c>
      <c r="C230" s="1" t="s">
        <v>272</v>
      </c>
      <c r="D230" s="2" t="s">
        <v>273</v>
      </c>
      <c r="E230" s="2"/>
      <c r="F230" s="2"/>
      <c r="G230" s="2"/>
      <c r="H230" s="2"/>
      <c r="I230" s="2"/>
      <c r="J230" s="2"/>
      <c r="K230" s="2"/>
      <c r="L230" s="3"/>
    </row>
    <row r="231" spans="1:12" hidden="1">
      <c r="A231" s="3" t="s">
        <v>208</v>
      </c>
      <c r="B231" s="4" t="s">
        <v>219</v>
      </c>
      <c r="C231" s="1" t="s">
        <v>274</v>
      </c>
      <c r="D231" s="2" t="s">
        <v>275</v>
      </c>
      <c r="E231" s="2"/>
      <c r="F231" s="2"/>
      <c r="G231" s="2"/>
      <c r="H231" s="2"/>
      <c r="I231" s="2"/>
      <c r="J231" s="2"/>
      <c r="K231" s="2"/>
      <c r="L231" s="3"/>
    </row>
    <row r="232" spans="1:12" hidden="1">
      <c r="A232" s="3" t="s">
        <v>208</v>
      </c>
      <c r="B232" s="4" t="s">
        <v>18</v>
      </c>
      <c r="C232" s="1" t="s">
        <v>276</v>
      </c>
      <c r="D232" s="2" t="s">
        <v>277</v>
      </c>
      <c r="E232" s="2"/>
      <c r="F232" s="2"/>
      <c r="G232" s="2"/>
      <c r="H232" s="2"/>
      <c r="I232" s="2"/>
      <c r="J232" s="2"/>
      <c r="K232" s="2"/>
      <c r="L232" s="3"/>
    </row>
    <row r="233" spans="1:12" hidden="1">
      <c r="A233" s="3" t="s">
        <v>208</v>
      </c>
      <c r="B233" s="4" t="s">
        <v>18</v>
      </c>
      <c r="C233" s="1" t="s">
        <v>278</v>
      </c>
      <c r="D233" s="2" t="s">
        <v>279</v>
      </c>
      <c r="E233" s="2"/>
      <c r="F233" s="2"/>
      <c r="G233" s="2"/>
      <c r="H233" s="2"/>
      <c r="I233" s="2"/>
      <c r="J233" s="2"/>
      <c r="K233" s="2"/>
      <c r="L233" s="3"/>
    </row>
    <row r="234" spans="1:12" hidden="1">
      <c r="A234" s="3" t="s">
        <v>208</v>
      </c>
      <c r="B234" s="4" t="s">
        <v>18</v>
      </c>
      <c r="C234" s="1" t="s">
        <v>280</v>
      </c>
      <c r="D234" s="2" t="s">
        <v>281</v>
      </c>
      <c r="E234" s="2"/>
      <c r="F234" s="2"/>
      <c r="G234" s="2"/>
      <c r="H234" s="2"/>
      <c r="I234" s="2"/>
      <c r="J234" s="2"/>
      <c r="K234" s="2"/>
      <c r="L234" s="3"/>
    </row>
    <row r="235" spans="1:12" hidden="1">
      <c r="A235" s="3" t="s">
        <v>208</v>
      </c>
      <c r="B235" s="4" t="s">
        <v>18</v>
      </c>
      <c r="C235" s="1" t="s">
        <v>282</v>
      </c>
      <c r="D235" s="2" t="s">
        <v>283</v>
      </c>
      <c r="E235" s="2"/>
      <c r="F235" s="2"/>
      <c r="G235" s="2"/>
      <c r="H235" s="2"/>
      <c r="I235" s="2"/>
      <c r="J235" s="2"/>
      <c r="K235" s="2"/>
      <c r="L235" s="3"/>
    </row>
    <row r="236" spans="1:12" hidden="1">
      <c r="A236" s="3" t="s">
        <v>208</v>
      </c>
      <c r="B236" s="4" t="s">
        <v>17</v>
      </c>
      <c r="C236" s="1" t="s">
        <v>284</v>
      </c>
      <c r="D236" s="2" t="s">
        <v>285</v>
      </c>
      <c r="E236" s="2"/>
      <c r="F236" s="2"/>
      <c r="G236" s="2"/>
      <c r="H236" s="2"/>
      <c r="I236" s="2"/>
      <c r="J236" s="2"/>
      <c r="K236" s="2"/>
      <c r="L236" s="3"/>
    </row>
    <row r="237" spans="1:12" hidden="1">
      <c r="A237" s="3" t="s">
        <v>208</v>
      </c>
      <c r="B237" s="4" t="s">
        <v>17</v>
      </c>
      <c r="C237" s="1" t="s">
        <v>286</v>
      </c>
      <c r="D237" s="2" t="s">
        <v>287</v>
      </c>
      <c r="E237" s="2"/>
      <c r="F237" s="2"/>
      <c r="G237" s="2"/>
      <c r="H237" s="2"/>
      <c r="I237" s="2"/>
      <c r="J237" s="2"/>
      <c r="K237" s="2"/>
      <c r="L237" s="3"/>
    </row>
    <row r="238" spans="1:12" hidden="1">
      <c r="A238" s="3" t="s">
        <v>208</v>
      </c>
      <c r="B238" s="4" t="s">
        <v>17</v>
      </c>
      <c r="C238" s="1" t="s">
        <v>288</v>
      </c>
      <c r="D238" s="2" t="s">
        <v>289</v>
      </c>
      <c r="E238" s="2"/>
      <c r="F238" s="2"/>
      <c r="G238" s="2"/>
      <c r="H238" s="2"/>
      <c r="I238" s="2"/>
      <c r="J238" s="2"/>
      <c r="K238" s="2"/>
      <c r="L238" s="3"/>
    </row>
    <row r="239" spans="1:12" hidden="1">
      <c r="A239" s="3" t="s">
        <v>208</v>
      </c>
      <c r="B239" s="4" t="s">
        <v>17</v>
      </c>
      <c r="C239" s="1" t="s">
        <v>290</v>
      </c>
      <c r="D239" s="2" t="s">
        <v>291</v>
      </c>
      <c r="E239" s="2"/>
      <c r="F239" s="2"/>
      <c r="G239" s="2"/>
      <c r="H239" s="2"/>
      <c r="I239" s="2"/>
      <c r="J239" s="2"/>
      <c r="K239" s="2"/>
      <c r="L239" s="3"/>
    </row>
    <row r="240" spans="1:12" hidden="1">
      <c r="A240" s="3" t="s">
        <v>208</v>
      </c>
      <c r="B240" s="4" t="s">
        <v>17</v>
      </c>
      <c r="C240" s="1" t="s">
        <v>292</v>
      </c>
      <c r="D240" s="2" t="s">
        <v>293</v>
      </c>
      <c r="E240" s="2"/>
      <c r="F240" s="2"/>
      <c r="G240" s="2"/>
      <c r="H240" s="2"/>
      <c r="I240" s="2"/>
      <c r="J240" s="2"/>
      <c r="K240" s="2"/>
      <c r="L240" s="3"/>
    </row>
    <row r="241" spans="1:12" hidden="1">
      <c r="A241" s="3" t="s">
        <v>208</v>
      </c>
      <c r="B241" s="4" t="s">
        <v>17</v>
      </c>
      <c r="C241" s="1" t="s">
        <v>294</v>
      </c>
      <c r="D241" s="2" t="s">
        <v>295</v>
      </c>
      <c r="E241" s="2"/>
      <c r="F241" s="2"/>
      <c r="G241" s="2"/>
      <c r="H241" s="2"/>
      <c r="I241" s="2"/>
      <c r="J241" s="2"/>
      <c r="K241" s="2"/>
      <c r="L241" s="3"/>
    </row>
    <row r="242" spans="1:12" hidden="1">
      <c r="A242" s="3" t="s">
        <v>208</v>
      </c>
      <c r="B242" s="4" t="s">
        <v>17</v>
      </c>
      <c r="C242" s="1" t="s">
        <v>296</v>
      </c>
      <c r="D242" s="2" t="s">
        <v>297</v>
      </c>
      <c r="E242" s="2"/>
      <c r="F242" s="2"/>
      <c r="G242" s="2"/>
      <c r="H242" s="2"/>
      <c r="I242" s="2"/>
      <c r="J242" s="2"/>
      <c r="K242" s="2"/>
      <c r="L242" s="3"/>
    </row>
    <row r="243" spans="1:12" hidden="1">
      <c r="A243" s="3" t="s">
        <v>208</v>
      </c>
      <c r="B243" s="4" t="s">
        <v>219</v>
      </c>
      <c r="C243" s="1" t="s">
        <v>20</v>
      </c>
      <c r="D243" s="2" t="s">
        <v>298</v>
      </c>
      <c r="E243" s="2"/>
      <c r="F243" s="2"/>
      <c r="G243" s="2"/>
      <c r="H243" s="2"/>
      <c r="I243" s="2"/>
      <c r="J243" s="2"/>
      <c r="K243" s="2"/>
      <c r="L243" s="3"/>
    </row>
    <row r="244" spans="1:12" hidden="1">
      <c r="A244" s="3" t="s">
        <v>208</v>
      </c>
      <c r="B244" s="4" t="s">
        <v>219</v>
      </c>
      <c r="C244" s="1" t="s">
        <v>21</v>
      </c>
      <c r="D244" s="2" t="s">
        <v>299</v>
      </c>
      <c r="E244" s="2"/>
      <c r="F244" s="2"/>
      <c r="G244" s="2"/>
      <c r="H244" s="2"/>
      <c r="I244" s="2"/>
      <c r="J244" s="2"/>
      <c r="K244" s="2"/>
      <c r="L244" s="3"/>
    </row>
    <row r="245" spans="1:12" hidden="1">
      <c r="A245" s="3" t="s">
        <v>208</v>
      </c>
      <c r="B245" s="4" t="s">
        <v>219</v>
      </c>
      <c r="C245" s="1" t="s">
        <v>22</v>
      </c>
      <c r="D245" s="2" t="s">
        <v>300</v>
      </c>
      <c r="E245" s="2"/>
      <c r="F245" s="2"/>
      <c r="G245" s="2"/>
      <c r="H245" s="2"/>
      <c r="I245" s="2"/>
      <c r="J245" s="2"/>
      <c r="K245" s="2"/>
      <c r="L245" s="3"/>
    </row>
    <row r="246" spans="1:12" hidden="1">
      <c r="A246" s="3" t="s">
        <v>208</v>
      </c>
      <c r="B246" s="4" t="s">
        <v>219</v>
      </c>
      <c r="C246" s="1" t="s">
        <v>669</v>
      </c>
      <c r="D246" s="2" t="s">
        <v>670</v>
      </c>
      <c r="E246" s="6" t="s">
        <v>617</v>
      </c>
      <c r="F246" s="6" t="s">
        <v>655</v>
      </c>
      <c r="G246" s="2"/>
      <c r="H246" s="2"/>
      <c r="I246" s="2"/>
      <c r="J246" s="2"/>
      <c r="K246" s="2"/>
      <c r="L246" s="3"/>
    </row>
    <row r="247" spans="1:12" hidden="1">
      <c r="A247" s="3" t="s">
        <v>208</v>
      </c>
      <c r="B247" s="4" t="s">
        <v>219</v>
      </c>
      <c r="C247" s="1" t="s">
        <v>301</v>
      </c>
      <c r="D247" s="2" t="s">
        <v>302</v>
      </c>
      <c r="E247" s="1" t="s">
        <v>301</v>
      </c>
      <c r="F247" s="6" t="s">
        <v>655</v>
      </c>
      <c r="G247" s="2"/>
      <c r="H247" s="2"/>
      <c r="I247" s="2"/>
      <c r="J247" s="2"/>
      <c r="K247" s="2"/>
      <c r="L247" s="3"/>
    </row>
    <row r="248" spans="1:12" hidden="1">
      <c r="A248" s="3" t="s">
        <v>208</v>
      </c>
      <c r="B248" s="4" t="s">
        <v>219</v>
      </c>
      <c r="C248" s="1" t="s">
        <v>303</v>
      </c>
      <c r="D248" s="2" t="s">
        <v>304</v>
      </c>
      <c r="E248" s="2"/>
      <c r="F248" s="2"/>
      <c r="G248" s="2"/>
      <c r="H248" s="2"/>
      <c r="I248" s="2"/>
      <c r="J248" s="2"/>
      <c r="K248" s="2"/>
      <c r="L248" s="3"/>
    </row>
    <row r="249" spans="1:12" hidden="1">
      <c r="A249" s="14" t="s">
        <v>702</v>
      </c>
      <c r="B249" s="14" t="s">
        <v>703</v>
      </c>
      <c r="C249" s="14" t="s">
        <v>720</v>
      </c>
      <c r="D249" s="16" t="s">
        <v>721</v>
      </c>
      <c r="E249" s="14"/>
      <c r="F249" s="14"/>
      <c r="G249" s="14" t="s">
        <v>712</v>
      </c>
      <c r="H249" s="3"/>
      <c r="I249" s="3"/>
      <c r="J249" s="3"/>
      <c r="K249" s="3"/>
      <c r="L249" s="3"/>
    </row>
    <row r="250" spans="1:12" hidden="1">
      <c r="A250" s="14" t="s">
        <v>702</v>
      </c>
      <c r="B250" s="14" t="s">
        <v>703</v>
      </c>
      <c r="C250" s="14" t="s">
        <v>722</v>
      </c>
      <c r="D250" s="16" t="s">
        <v>723</v>
      </c>
      <c r="E250" s="14"/>
      <c r="F250" s="14"/>
      <c r="G250" s="14" t="s">
        <v>712</v>
      </c>
      <c r="H250" s="3"/>
      <c r="I250" s="3"/>
      <c r="J250" s="3"/>
      <c r="K250" s="3"/>
      <c r="L250" s="3"/>
    </row>
    <row r="251" spans="1:12" hidden="1">
      <c r="A251" s="14" t="s">
        <v>702</v>
      </c>
      <c r="B251" s="14" t="s">
        <v>703</v>
      </c>
      <c r="C251" s="14" t="s">
        <v>724</v>
      </c>
      <c r="D251" s="16" t="s">
        <v>725</v>
      </c>
      <c r="E251" s="14"/>
      <c r="F251" s="14"/>
      <c r="G251" s="14" t="s">
        <v>712</v>
      </c>
      <c r="H251" s="3"/>
      <c r="I251" s="3"/>
      <c r="J251" s="3"/>
      <c r="K251" s="3"/>
      <c r="L251" s="3"/>
    </row>
    <row r="252" spans="1:12" hidden="1">
      <c r="A252" s="3" t="s">
        <v>208</v>
      </c>
      <c r="B252" s="18" t="s">
        <v>697</v>
      </c>
      <c r="C252" s="20" t="s">
        <v>681</v>
      </c>
      <c r="D252" s="22" t="s">
        <v>682</v>
      </c>
      <c r="E252" s="20" t="s">
        <v>681</v>
      </c>
      <c r="F252" s="3"/>
      <c r="G252" s="3"/>
      <c r="H252" s="3"/>
      <c r="I252" s="3"/>
      <c r="J252" s="3"/>
      <c r="K252" s="3"/>
      <c r="L252" s="3"/>
    </row>
    <row r="253" spans="1:12" hidden="1">
      <c r="A253" s="3" t="s">
        <v>208</v>
      </c>
      <c r="B253" s="18" t="s">
        <v>697</v>
      </c>
      <c r="C253" s="20" t="s">
        <v>683</v>
      </c>
      <c r="D253" s="22" t="s">
        <v>684</v>
      </c>
      <c r="E253" s="20" t="s">
        <v>683</v>
      </c>
      <c r="F253" s="3"/>
      <c r="G253" s="3"/>
      <c r="H253" s="3"/>
      <c r="I253" s="3"/>
      <c r="J253" s="3"/>
      <c r="K253" s="3"/>
      <c r="L253" s="3"/>
    </row>
    <row r="254" spans="1:12" hidden="1">
      <c r="A254" s="3" t="s">
        <v>208</v>
      </c>
      <c r="B254" s="18" t="s">
        <v>697</v>
      </c>
      <c r="C254" s="20" t="s">
        <v>685</v>
      </c>
      <c r="D254" s="22" t="s">
        <v>686</v>
      </c>
      <c r="E254" s="20" t="s">
        <v>685</v>
      </c>
      <c r="F254" s="3"/>
      <c r="G254" s="3"/>
      <c r="H254" s="3"/>
      <c r="I254" s="3"/>
      <c r="J254" s="3"/>
      <c r="K254" s="3"/>
      <c r="L254" s="3"/>
    </row>
    <row r="255" spans="1:12" hidden="1">
      <c r="A255" s="3" t="s">
        <v>208</v>
      </c>
      <c r="B255" s="18" t="s">
        <v>697</v>
      </c>
      <c r="C255" s="20" t="s">
        <v>687</v>
      </c>
      <c r="D255" s="22" t="s">
        <v>688</v>
      </c>
      <c r="E255" s="20" t="s">
        <v>687</v>
      </c>
      <c r="F255" s="3"/>
      <c r="G255" s="3"/>
      <c r="H255" s="3"/>
      <c r="I255" s="3"/>
      <c r="J255" s="3"/>
      <c r="K255" s="3"/>
      <c r="L255" s="3"/>
    </row>
    <row r="256" spans="1:12" hidden="1">
      <c r="A256" s="3" t="s">
        <v>208</v>
      </c>
      <c r="B256" s="4" t="s">
        <v>17</v>
      </c>
      <c r="C256" s="1" t="s">
        <v>305</v>
      </c>
      <c r="D256" s="2" t="s">
        <v>306</v>
      </c>
      <c r="E256" s="1" t="s">
        <v>305</v>
      </c>
      <c r="F256" s="6" t="s">
        <v>655</v>
      </c>
      <c r="G256" s="2"/>
      <c r="H256" s="2"/>
      <c r="I256" s="2"/>
      <c r="J256" s="2"/>
      <c r="K256" s="2"/>
      <c r="L256" s="3"/>
    </row>
    <row r="257" spans="1:12" hidden="1">
      <c r="A257" s="3" t="s">
        <v>208</v>
      </c>
      <c r="B257" s="4" t="s">
        <v>17</v>
      </c>
      <c r="C257" s="1" t="s">
        <v>672</v>
      </c>
      <c r="D257" s="2" t="s">
        <v>306</v>
      </c>
      <c r="E257" s="1" t="s">
        <v>672</v>
      </c>
      <c r="F257" s="6" t="s">
        <v>655</v>
      </c>
      <c r="G257" s="2"/>
      <c r="H257" s="2"/>
      <c r="I257" s="2"/>
      <c r="J257" s="2"/>
      <c r="K257" s="2"/>
      <c r="L257" s="3"/>
    </row>
    <row r="258" spans="1:12" hidden="1">
      <c r="A258" s="3" t="s">
        <v>208</v>
      </c>
      <c r="B258" s="18" t="s">
        <v>697</v>
      </c>
      <c r="C258" s="20" t="s">
        <v>689</v>
      </c>
      <c r="D258" s="22" t="s">
        <v>690</v>
      </c>
      <c r="E258" s="20" t="s">
        <v>689</v>
      </c>
      <c r="F258" s="3"/>
      <c r="G258" s="3"/>
      <c r="H258" s="3"/>
      <c r="I258" s="3"/>
      <c r="J258" s="3"/>
      <c r="K258" s="3"/>
      <c r="L258" s="3"/>
    </row>
    <row r="259" spans="1:12" hidden="1">
      <c r="A259" s="3" t="s">
        <v>208</v>
      </c>
      <c r="B259" s="4" t="s">
        <v>23</v>
      </c>
      <c r="C259" s="1" t="s">
        <v>28</v>
      </c>
      <c r="D259" s="2" t="s">
        <v>307</v>
      </c>
      <c r="E259" s="2"/>
      <c r="F259" s="2"/>
      <c r="G259" s="2"/>
      <c r="H259" s="2"/>
      <c r="I259" s="2"/>
      <c r="J259" s="2"/>
      <c r="K259" s="2"/>
      <c r="L259" s="3"/>
    </row>
    <row r="260" spans="1:12" hidden="1">
      <c r="A260" s="3" t="s">
        <v>208</v>
      </c>
      <c r="B260" s="4" t="s">
        <v>23</v>
      </c>
      <c r="C260" s="1" t="s">
        <v>25</v>
      </c>
      <c r="D260" s="2" t="s">
        <v>308</v>
      </c>
      <c r="E260" s="2"/>
      <c r="F260" s="2"/>
      <c r="G260" s="2"/>
      <c r="H260" s="2"/>
      <c r="I260" s="2"/>
      <c r="J260" s="2"/>
      <c r="K260" s="2"/>
      <c r="L260" s="3"/>
    </row>
    <row r="261" spans="1:12" hidden="1">
      <c r="A261" s="3" t="s">
        <v>208</v>
      </c>
      <c r="B261" s="4" t="s">
        <v>23</v>
      </c>
      <c r="C261" s="1" t="s">
        <v>24</v>
      </c>
      <c r="D261" s="2" t="s">
        <v>309</v>
      </c>
      <c r="E261" s="2"/>
      <c r="F261" s="2"/>
      <c r="G261" s="2"/>
      <c r="H261" s="2"/>
      <c r="I261" s="2"/>
      <c r="J261" s="2"/>
      <c r="K261" s="2"/>
      <c r="L261" s="3"/>
    </row>
    <row r="262" spans="1:12" hidden="1">
      <c r="A262" s="3" t="s">
        <v>208</v>
      </c>
      <c r="B262" s="4" t="s">
        <v>23</v>
      </c>
      <c r="C262" s="1" t="s">
        <v>27</v>
      </c>
      <c r="D262" s="2" t="s">
        <v>310</v>
      </c>
      <c r="E262" s="1" t="s">
        <v>27</v>
      </c>
      <c r="F262" s="6" t="s">
        <v>655</v>
      </c>
      <c r="G262" s="2"/>
      <c r="H262" s="2"/>
      <c r="I262" s="2"/>
      <c r="J262" s="2"/>
      <c r="K262" s="2"/>
      <c r="L262" s="3"/>
    </row>
    <row r="263" spans="1:12" hidden="1">
      <c r="A263" s="3" t="s">
        <v>208</v>
      </c>
      <c r="B263" s="18" t="s">
        <v>697</v>
      </c>
      <c r="C263" s="3" t="s">
        <v>673</v>
      </c>
      <c r="D263" s="22" t="s">
        <v>698</v>
      </c>
      <c r="E263" s="3" t="s">
        <v>673</v>
      </c>
      <c r="F263" s="6" t="s">
        <v>655</v>
      </c>
      <c r="G263" s="3"/>
      <c r="H263" s="3"/>
      <c r="I263" s="3"/>
      <c r="J263" s="3"/>
      <c r="K263" s="3"/>
      <c r="L263" s="3"/>
    </row>
    <row r="264" spans="1:12" hidden="1">
      <c r="A264" s="3" t="s">
        <v>208</v>
      </c>
      <c r="B264" s="4" t="s">
        <v>23</v>
      </c>
      <c r="C264" s="1" t="s">
        <v>26</v>
      </c>
      <c r="D264" s="2" t="s">
        <v>311</v>
      </c>
      <c r="E264" s="2"/>
      <c r="F264" s="2"/>
      <c r="G264" s="2"/>
      <c r="H264" s="2"/>
      <c r="I264" s="2"/>
      <c r="J264" s="2"/>
      <c r="K264" s="2"/>
      <c r="L264" s="3"/>
    </row>
    <row r="265" spans="1:12" hidden="1">
      <c r="A265" s="3" t="s">
        <v>208</v>
      </c>
      <c r="B265" s="18" t="s">
        <v>697</v>
      </c>
      <c r="C265" s="20" t="s">
        <v>691</v>
      </c>
      <c r="D265" s="22" t="s">
        <v>692</v>
      </c>
      <c r="E265" s="20" t="s">
        <v>691</v>
      </c>
      <c r="F265" s="3"/>
      <c r="G265" s="3"/>
      <c r="H265" s="3"/>
      <c r="I265" s="3"/>
      <c r="J265" s="3"/>
      <c r="K265" s="3"/>
      <c r="L265" s="3"/>
    </row>
    <row r="266" spans="1:12" hidden="1">
      <c r="A266" s="3" t="s">
        <v>208</v>
      </c>
      <c r="B266" s="4" t="s">
        <v>17</v>
      </c>
      <c r="C266" s="1" t="s">
        <v>312</v>
      </c>
      <c r="D266" s="2" t="s">
        <v>313</v>
      </c>
      <c r="E266" s="2"/>
      <c r="F266" s="2"/>
      <c r="G266" s="2"/>
      <c r="H266" s="2"/>
      <c r="I266" s="2"/>
      <c r="J266" s="2"/>
      <c r="K266" s="2"/>
      <c r="L266" s="3"/>
    </row>
    <row r="267" spans="1:12" hidden="1">
      <c r="A267" s="3" t="s">
        <v>208</v>
      </c>
      <c r="B267" s="4" t="s">
        <v>17</v>
      </c>
      <c r="C267" s="1" t="s">
        <v>314</v>
      </c>
      <c r="D267" s="2" t="s">
        <v>315</v>
      </c>
      <c r="E267" s="2"/>
      <c r="F267" s="2"/>
      <c r="G267" s="2"/>
      <c r="H267" s="2"/>
      <c r="I267" s="2"/>
      <c r="J267" s="2"/>
      <c r="K267" s="2"/>
      <c r="L267" s="3"/>
    </row>
    <row r="268" spans="1:12" hidden="1">
      <c r="A268" s="3" t="s">
        <v>208</v>
      </c>
      <c r="B268" s="4" t="s">
        <v>17</v>
      </c>
      <c r="C268" s="1" t="s">
        <v>316</v>
      </c>
      <c r="D268" s="2" t="s">
        <v>317</v>
      </c>
      <c r="E268" s="2"/>
      <c r="F268" s="2"/>
      <c r="G268" s="2"/>
      <c r="H268" s="2"/>
      <c r="I268" s="2"/>
      <c r="J268" s="2"/>
      <c r="K268" s="2"/>
      <c r="L268" s="3"/>
    </row>
    <row r="269" spans="1:12" hidden="1">
      <c r="A269" s="3" t="s">
        <v>208</v>
      </c>
      <c r="B269" s="4" t="s">
        <v>17</v>
      </c>
      <c r="C269" s="1" t="s">
        <v>318</v>
      </c>
      <c r="D269" s="2" t="s">
        <v>319</v>
      </c>
      <c r="E269" s="2"/>
      <c r="F269" s="2"/>
      <c r="G269" s="2"/>
      <c r="H269" s="2"/>
      <c r="I269" s="2"/>
      <c r="J269" s="2"/>
      <c r="K269" s="2"/>
      <c r="L269" s="3"/>
    </row>
    <row r="270" spans="1:12" hidden="1">
      <c r="A270" s="3" t="s">
        <v>208</v>
      </c>
      <c r="B270" s="4" t="s">
        <v>17</v>
      </c>
      <c r="C270" s="1" t="s">
        <v>320</v>
      </c>
      <c r="D270" s="2" t="s">
        <v>321</v>
      </c>
      <c r="E270" s="2"/>
      <c r="F270" s="2"/>
      <c r="G270" s="2"/>
      <c r="H270" s="2"/>
      <c r="I270" s="2"/>
      <c r="J270" s="2"/>
      <c r="K270" s="2"/>
      <c r="L270" s="3"/>
    </row>
    <row r="271" spans="1:12" hidden="1">
      <c r="A271" s="3" t="s">
        <v>208</v>
      </c>
      <c r="B271" s="4" t="s">
        <v>17</v>
      </c>
      <c r="C271" s="1" t="s">
        <v>322</v>
      </c>
      <c r="D271" s="2" t="s">
        <v>323</v>
      </c>
      <c r="E271" s="2"/>
      <c r="F271" s="2"/>
      <c r="G271" s="2"/>
      <c r="H271" s="2"/>
      <c r="I271" s="2"/>
      <c r="J271" s="2"/>
      <c r="K271" s="2"/>
      <c r="L271" s="3"/>
    </row>
    <row r="272" spans="1:12" hidden="1">
      <c r="A272" s="3" t="s">
        <v>208</v>
      </c>
      <c r="B272" s="4" t="s">
        <v>17</v>
      </c>
      <c r="C272" s="1" t="s">
        <v>324</v>
      </c>
      <c r="D272" s="2" t="s">
        <v>325</v>
      </c>
      <c r="E272" s="2"/>
      <c r="F272" s="2"/>
      <c r="G272" s="2"/>
      <c r="H272" s="2"/>
      <c r="I272" s="2"/>
      <c r="J272" s="2"/>
      <c r="K272" s="2"/>
      <c r="L272" s="3"/>
    </row>
    <row r="273" spans="1:12" hidden="1">
      <c r="A273" s="3" t="s">
        <v>208</v>
      </c>
      <c r="B273" s="4" t="s">
        <v>17</v>
      </c>
      <c r="C273" s="1" t="s">
        <v>326</v>
      </c>
      <c r="D273" s="2" t="s">
        <v>327</v>
      </c>
      <c r="E273" s="2"/>
      <c r="F273" s="2"/>
      <c r="G273" s="2"/>
      <c r="H273" s="2"/>
      <c r="I273" s="2"/>
      <c r="J273" s="2"/>
      <c r="K273" s="2"/>
      <c r="L273" s="3"/>
    </row>
    <row r="274" spans="1:12" hidden="1">
      <c r="A274" s="3" t="s">
        <v>208</v>
      </c>
      <c r="B274" s="4" t="s">
        <v>17</v>
      </c>
      <c r="C274" s="1" t="s">
        <v>328</v>
      </c>
      <c r="D274" s="2" t="s">
        <v>329</v>
      </c>
      <c r="E274" s="2"/>
      <c r="F274" s="2"/>
      <c r="G274" s="2"/>
      <c r="H274" s="2"/>
      <c r="I274" s="2"/>
      <c r="J274" s="2"/>
      <c r="K274" s="2"/>
      <c r="L274" s="3"/>
    </row>
    <row r="275" spans="1:12" hidden="1">
      <c r="A275" s="3" t="s">
        <v>208</v>
      </c>
      <c r="B275" s="4" t="s">
        <v>17</v>
      </c>
      <c r="C275" s="1" t="s">
        <v>330</v>
      </c>
      <c r="D275" s="2" t="s">
        <v>331</v>
      </c>
      <c r="E275" s="2" t="s">
        <v>674</v>
      </c>
      <c r="F275" s="6" t="s">
        <v>655</v>
      </c>
      <c r="G275" s="2"/>
      <c r="H275" s="2"/>
      <c r="I275" s="2"/>
      <c r="J275" s="2"/>
      <c r="K275" s="2"/>
      <c r="L275" s="3"/>
    </row>
    <row r="276" spans="1:12" hidden="1">
      <c r="A276" s="3" t="s">
        <v>208</v>
      </c>
      <c r="B276" s="18" t="s">
        <v>697</v>
      </c>
      <c r="C276" s="20" t="s">
        <v>693</v>
      </c>
      <c r="D276" s="22" t="s">
        <v>694</v>
      </c>
      <c r="E276" s="20" t="s">
        <v>693</v>
      </c>
      <c r="F276" s="6" t="s">
        <v>655</v>
      </c>
      <c r="G276" s="3"/>
      <c r="H276" s="3"/>
      <c r="I276" s="3"/>
      <c r="J276" s="3"/>
      <c r="K276" s="3"/>
      <c r="L276" s="3"/>
    </row>
    <row r="277" spans="1:12" hidden="1">
      <c r="A277" s="3" t="s">
        <v>208</v>
      </c>
      <c r="B277" s="18" t="s">
        <v>697</v>
      </c>
      <c r="C277" s="20" t="s">
        <v>97</v>
      </c>
      <c r="D277" s="22" t="s">
        <v>695</v>
      </c>
      <c r="E277" s="20" t="s">
        <v>97</v>
      </c>
      <c r="F277" s="3"/>
      <c r="G277" s="3"/>
      <c r="H277" s="3"/>
      <c r="I277" s="3"/>
      <c r="J277" s="3"/>
      <c r="K277" s="3"/>
      <c r="L277" s="3"/>
    </row>
    <row r="278" spans="1:12" hidden="1">
      <c r="A278" s="3" t="s">
        <v>208</v>
      </c>
      <c r="B278" s="18" t="s">
        <v>697</v>
      </c>
      <c r="C278" s="20" t="s">
        <v>98</v>
      </c>
      <c r="D278" s="22" t="s">
        <v>696</v>
      </c>
      <c r="E278" s="20" t="s">
        <v>98</v>
      </c>
      <c r="F278" s="3"/>
      <c r="G278" s="3"/>
      <c r="H278" s="3"/>
      <c r="I278" s="3"/>
      <c r="J278" s="3"/>
      <c r="K278" s="3"/>
      <c r="L278" s="3"/>
    </row>
    <row r="279" spans="1:12" ht="17.25" hidden="1">
      <c r="A279" s="3" t="s">
        <v>208</v>
      </c>
      <c r="B279" s="4" t="s">
        <v>17</v>
      </c>
      <c r="C279" s="1" t="s">
        <v>332</v>
      </c>
      <c r="D279" s="2" t="s">
        <v>333</v>
      </c>
      <c r="E279" s="2" t="s">
        <v>675</v>
      </c>
      <c r="F279" s="6" t="s">
        <v>655</v>
      </c>
      <c r="G279" s="2"/>
      <c r="H279" s="2"/>
      <c r="I279" s="2"/>
      <c r="J279" s="2"/>
      <c r="K279" s="2"/>
      <c r="L279" s="3"/>
    </row>
    <row r="280" spans="1:12" hidden="1">
      <c r="A280" s="3" t="s">
        <v>208</v>
      </c>
      <c r="B280" s="4" t="s">
        <v>17</v>
      </c>
      <c r="C280" s="1" t="s">
        <v>334</v>
      </c>
      <c r="D280" s="2" t="s">
        <v>335</v>
      </c>
      <c r="E280" s="2" t="s">
        <v>677</v>
      </c>
      <c r="F280" s="2"/>
      <c r="G280" s="2"/>
      <c r="H280" s="2"/>
      <c r="I280" s="2"/>
      <c r="J280" s="2"/>
      <c r="K280" s="2"/>
      <c r="L280" s="3"/>
    </row>
    <row r="281" spans="1:12" hidden="1">
      <c r="A281" s="3" t="s">
        <v>208</v>
      </c>
      <c r="B281" s="4" t="s">
        <v>17</v>
      </c>
      <c r="C281" s="1" t="s">
        <v>676</v>
      </c>
      <c r="D281" s="2" t="s">
        <v>335</v>
      </c>
      <c r="E281" s="2" t="s">
        <v>677</v>
      </c>
      <c r="F281" s="6" t="s">
        <v>655</v>
      </c>
      <c r="G281" s="2"/>
      <c r="H281" s="2"/>
      <c r="I281" s="2"/>
      <c r="J281" s="2"/>
      <c r="K281" s="2"/>
      <c r="L281" s="3"/>
    </row>
    <row r="282" spans="1:12" ht="28.5" hidden="1">
      <c r="A282" s="3" t="s">
        <v>208</v>
      </c>
      <c r="B282" s="4" t="s">
        <v>18</v>
      </c>
      <c r="C282" s="1" t="s">
        <v>336</v>
      </c>
      <c r="D282" s="2" t="s">
        <v>337</v>
      </c>
      <c r="E282" s="2"/>
      <c r="F282" s="2"/>
      <c r="G282" s="2"/>
      <c r="H282" s="2"/>
      <c r="I282" s="2"/>
      <c r="J282" s="2"/>
      <c r="K282" s="2"/>
      <c r="L282" s="3"/>
    </row>
    <row r="283" spans="1:12" ht="28.5" hidden="1">
      <c r="A283" s="3" t="s">
        <v>208</v>
      </c>
      <c r="B283" s="4" t="s">
        <v>18</v>
      </c>
      <c r="C283" s="1" t="s">
        <v>338</v>
      </c>
      <c r="D283" s="2" t="s">
        <v>339</v>
      </c>
      <c r="E283" s="2"/>
      <c r="F283" s="2"/>
      <c r="G283" s="2"/>
      <c r="H283" s="2"/>
      <c r="I283" s="2"/>
      <c r="J283" s="2"/>
      <c r="K283" s="2"/>
      <c r="L283" s="3"/>
    </row>
    <row r="284" spans="1:12" ht="28.5" hidden="1">
      <c r="A284" s="3" t="s">
        <v>208</v>
      </c>
      <c r="B284" s="4" t="s">
        <v>18</v>
      </c>
      <c r="C284" s="1" t="s">
        <v>340</v>
      </c>
      <c r="D284" s="2" t="s">
        <v>341</v>
      </c>
      <c r="E284" s="2"/>
      <c r="F284" s="2"/>
      <c r="G284" s="2"/>
      <c r="H284" s="2"/>
      <c r="I284" s="2"/>
      <c r="J284" s="2"/>
      <c r="K284" s="2"/>
      <c r="L284" s="3"/>
    </row>
    <row r="285" spans="1:12" hidden="1">
      <c r="A285" s="3" t="s">
        <v>208</v>
      </c>
      <c r="B285" s="4" t="s">
        <v>18</v>
      </c>
      <c r="C285" s="1" t="s">
        <v>342</v>
      </c>
      <c r="D285" s="2" t="s">
        <v>343</v>
      </c>
      <c r="E285" s="2"/>
      <c r="F285" s="2"/>
      <c r="G285" s="2"/>
      <c r="H285" s="2"/>
      <c r="I285" s="2"/>
      <c r="J285" s="2"/>
      <c r="K285" s="2"/>
      <c r="L285" s="3"/>
    </row>
    <row r="286" spans="1:12" hidden="1">
      <c r="A286" s="3" t="s">
        <v>208</v>
      </c>
      <c r="B286" s="4" t="s">
        <v>18</v>
      </c>
      <c r="C286" s="1" t="s">
        <v>344</v>
      </c>
      <c r="D286" s="2" t="s">
        <v>345</v>
      </c>
      <c r="E286" s="2"/>
      <c r="F286" s="2"/>
      <c r="G286" s="2"/>
      <c r="H286" s="2"/>
      <c r="I286" s="2"/>
      <c r="J286" s="2"/>
      <c r="K286" s="2"/>
      <c r="L286" s="3"/>
    </row>
    <row r="287" spans="1:12" hidden="1">
      <c r="A287" s="3" t="s">
        <v>208</v>
      </c>
      <c r="B287" s="4" t="s">
        <v>18</v>
      </c>
      <c r="C287" s="1" t="s">
        <v>346</v>
      </c>
      <c r="D287" s="2" t="s">
        <v>347</v>
      </c>
      <c r="E287" s="2"/>
      <c r="F287" s="2"/>
      <c r="G287" s="2"/>
      <c r="H287" s="2"/>
      <c r="I287" s="2"/>
      <c r="J287" s="2"/>
      <c r="K287" s="2"/>
      <c r="L287" s="3"/>
    </row>
    <row r="288" spans="1:12" hidden="1">
      <c r="A288" s="3" t="s">
        <v>208</v>
      </c>
      <c r="B288" s="4" t="s">
        <v>18</v>
      </c>
      <c r="C288" s="1" t="s">
        <v>348</v>
      </c>
      <c r="D288" s="2" t="s">
        <v>349</v>
      </c>
      <c r="E288" s="2"/>
      <c r="F288" s="2"/>
      <c r="G288" s="2"/>
      <c r="H288" s="2"/>
      <c r="I288" s="2"/>
      <c r="J288" s="2"/>
      <c r="K288" s="2"/>
      <c r="L288" s="3"/>
    </row>
    <row r="289" spans="1:12" hidden="1">
      <c r="A289" s="3" t="s">
        <v>208</v>
      </c>
      <c r="B289" s="4" t="s">
        <v>18</v>
      </c>
      <c r="C289" s="1" t="s">
        <v>350</v>
      </c>
      <c r="D289" s="2" t="s">
        <v>351</v>
      </c>
      <c r="E289" s="2"/>
      <c r="F289" s="2"/>
      <c r="G289" s="2"/>
      <c r="H289" s="2"/>
      <c r="I289" s="2"/>
      <c r="J289" s="2"/>
      <c r="K289" s="2"/>
      <c r="L289" s="3"/>
    </row>
    <row r="290" spans="1:12" hidden="1">
      <c r="A290" s="3" t="s">
        <v>208</v>
      </c>
      <c r="B290" s="4" t="s">
        <v>18</v>
      </c>
      <c r="C290" s="1" t="s">
        <v>352</v>
      </c>
      <c r="D290" s="2" t="s">
        <v>353</v>
      </c>
      <c r="E290" s="2"/>
      <c r="F290" s="2"/>
      <c r="G290" s="2"/>
      <c r="H290" s="2"/>
      <c r="I290" s="2"/>
      <c r="J290" s="2"/>
      <c r="K290" s="2"/>
      <c r="L290" s="3"/>
    </row>
    <row r="291" spans="1:12" hidden="1">
      <c r="A291" s="3" t="s">
        <v>208</v>
      </c>
      <c r="B291" s="4" t="s">
        <v>18</v>
      </c>
      <c r="C291" s="1" t="s">
        <v>354</v>
      </c>
      <c r="D291" s="2" t="s">
        <v>355</v>
      </c>
      <c r="E291" s="2"/>
      <c r="F291" s="2"/>
      <c r="G291" s="2"/>
      <c r="H291" s="2"/>
      <c r="I291" s="2"/>
      <c r="J291" s="2"/>
      <c r="K291" s="2"/>
      <c r="L291" s="3"/>
    </row>
    <row r="292" spans="1:12" hidden="1">
      <c r="A292" s="3" t="s">
        <v>208</v>
      </c>
      <c r="B292" s="4" t="s">
        <v>230</v>
      </c>
      <c r="C292" s="1" t="s">
        <v>356</v>
      </c>
      <c r="D292" s="2" t="s">
        <v>357</v>
      </c>
      <c r="E292" s="2"/>
      <c r="F292" s="2"/>
      <c r="G292" s="2"/>
      <c r="H292" s="2"/>
      <c r="I292" s="2"/>
      <c r="J292" s="2"/>
      <c r="K292" s="2"/>
      <c r="L292" s="3"/>
    </row>
    <row r="293" spans="1:12" hidden="1">
      <c r="A293" s="3" t="s">
        <v>208</v>
      </c>
      <c r="B293" s="4" t="s">
        <v>230</v>
      </c>
      <c r="C293" s="1" t="s">
        <v>358</v>
      </c>
      <c r="D293" s="2" t="s">
        <v>359</v>
      </c>
      <c r="E293" s="2"/>
      <c r="F293" s="2"/>
      <c r="G293" s="2"/>
      <c r="H293" s="2"/>
      <c r="I293" s="2"/>
      <c r="J293" s="2"/>
      <c r="K293" s="2"/>
      <c r="L293" s="3"/>
    </row>
    <row r="294" spans="1:12" hidden="1">
      <c r="A294" s="3" t="s">
        <v>208</v>
      </c>
      <c r="B294" s="4" t="s">
        <v>230</v>
      </c>
      <c r="C294" s="1" t="s">
        <v>360</v>
      </c>
      <c r="D294" s="2" t="s">
        <v>361</v>
      </c>
      <c r="E294" s="2"/>
      <c r="F294" s="2"/>
      <c r="G294" s="2"/>
      <c r="H294" s="2"/>
      <c r="I294" s="2"/>
      <c r="J294" s="2"/>
      <c r="K294" s="2"/>
      <c r="L294" s="3"/>
    </row>
    <row r="295" spans="1:12" hidden="1">
      <c r="A295" s="3" t="s">
        <v>208</v>
      </c>
      <c r="B295" s="4" t="s">
        <v>230</v>
      </c>
      <c r="C295" s="1" t="s">
        <v>362</v>
      </c>
      <c r="D295" s="2" t="s">
        <v>363</v>
      </c>
      <c r="E295" s="2"/>
      <c r="F295" s="2"/>
      <c r="G295" s="2"/>
      <c r="H295" s="2"/>
      <c r="I295" s="2"/>
      <c r="J295" s="2"/>
      <c r="K295" s="2"/>
      <c r="L295" s="3"/>
    </row>
    <row r="296" spans="1:12" hidden="1">
      <c r="A296" s="3" t="s">
        <v>208</v>
      </c>
      <c r="B296" s="4" t="s">
        <v>230</v>
      </c>
      <c r="C296" s="1" t="s">
        <v>364</v>
      </c>
      <c r="D296" s="2" t="s">
        <v>365</v>
      </c>
      <c r="E296" s="2"/>
      <c r="F296" s="2"/>
      <c r="G296" s="2"/>
      <c r="H296" s="2"/>
      <c r="I296" s="2"/>
      <c r="J296" s="2"/>
      <c r="K296" s="2"/>
      <c r="L296" s="3"/>
    </row>
    <row r="297" spans="1:12" hidden="1">
      <c r="A297" s="3" t="s">
        <v>208</v>
      </c>
      <c r="B297" s="4" t="s">
        <v>230</v>
      </c>
      <c r="C297" s="1" t="s">
        <v>366</v>
      </c>
      <c r="D297" s="2" t="s">
        <v>367</v>
      </c>
      <c r="E297" s="2"/>
      <c r="F297" s="2"/>
      <c r="G297" s="2"/>
      <c r="H297" s="2"/>
      <c r="I297" s="2"/>
      <c r="J297" s="2"/>
      <c r="K297" s="2"/>
      <c r="L297" s="3"/>
    </row>
    <row r="298" spans="1:12" hidden="1">
      <c r="A298" s="3" t="s">
        <v>208</v>
      </c>
      <c r="B298" s="4" t="s">
        <v>230</v>
      </c>
      <c r="C298" s="1" t="s">
        <v>368</v>
      </c>
      <c r="D298" s="2" t="s">
        <v>246</v>
      </c>
      <c r="E298" s="2"/>
      <c r="F298" s="2"/>
      <c r="G298" s="2"/>
      <c r="H298" s="2"/>
      <c r="I298" s="2"/>
      <c r="J298" s="2"/>
      <c r="K298" s="2"/>
      <c r="L298" s="3"/>
    </row>
    <row r="299" spans="1:12" hidden="1">
      <c r="A299" s="3" t="s">
        <v>208</v>
      </c>
      <c r="B299" s="4" t="s">
        <v>230</v>
      </c>
      <c r="C299" s="1" t="s">
        <v>369</v>
      </c>
      <c r="D299" s="2" t="s">
        <v>370</v>
      </c>
      <c r="E299" s="2"/>
      <c r="F299" s="2"/>
      <c r="G299" s="2"/>
      <c r="H299" s="2"/>
      <c r="I299" s="2"/>
      <c r="J299" s="2"/>
      <c r="K299" s="2"/>
      <c r="L299" s="3"/>
    </row>
    <row r="300" spans="1:12" hidden="1">
      <c r="A300" s="3" t="s">
        <v>208</v>
      </c>
      <c r="B300" s="4" t="s">
        <v>230</v>
      </c>
      <c r="C300" s="1" t="s">
        <v>371</v>
      </c>
      <c r="D300" s="2" t="s">
        <v>372</v>
      </c>
      <c r="E300" s="2"/>
      <c r="F300" s="2"/>
      <c r="G300" s="2"/>
      <c r="H300" s="2"/>
      <c r="I300" s="2"/>
      <c r="J300" s="2"/>
      <c r="K300" s="2"/>
      <c r="L300" s="3"/>
    </row>
    <row r="301" spans="1:12" hidden="1">
      <c r="A301" s="3" t="s">
        <v>208</v>
      </c>
      <c r="B301" s="4" t="s">
        <v>230</v>
      </c>
      <c r="C301" s="1" t="s">
        <v>373</v>
      </c>
      <c r="D301" s="2" t="s">
        <v>374</v>
      </c>
      <c r="E301" s="2"/>
      <c r="F301" s="2"/>
      <c r="G301" s="2"/>
      <c r="H301" s="2"/>
      <c r="I301" s="2"/>
      <c r="J301" s="2"/>
      <c r="K301" s="2"/>
      <c r="L301" s="3"/>
    </row>
    <row r="302" spans="1:12" ht="28.5" hidden="1">
      <c r="A302" s="3" t="s">
        <v>208</v>
      </c>
      <c r="B302" s="4" t="s">
        <v>230</v>
      </c>
      <c r="C302" s="1" t="s">
        <v>375</v>
      </c>
      <c r="D302" s="2" t="s">
        <v>376</v>
      </c>
      <c r="E302" s="2"/>
      <c r="F302" s="2"/>
      <c r="G302" s="2"/>
      <c r="H302" s="2"/>
      <c r="I302" s="2"/>
      <c r="J302" s="2"/>
      <c r="K302" s="2"/>
      <c r="L302" s="3"/>
    </row>
    <row r="303" spans="1:12" hidden="1">
      <c r="A303" s="3" t="s">
        <v>208</v>
      </c>
      <c r="B303" s="19" t="s">
        <v>230</v>
      </c>
      <c r="C303" s="21" t="s">
        <v>377</v>
      </c>
      <c r="D303" s="23" t="s">
        <v>378</v>
      </c>
      <c r="E303" s="23"/>
      <c r="F303" s="23"/>
      <c r="G303" s="23"/>
      <c r="H303" s="23"/>
      <c r="I303" s="23"/>
      <c r="J303" s="23"/>
      <c r="K303" s="23"/>
      <c r="L303" s="25"/>
    </row>
    <row r="304" spans="1:12" ht="28.5" hidden="1">
      <c r="A304" s="3" t="s">
        <v>208</v>
      </c>
      <c r="B304" s="19" t="s">
        <v>230</v>
      </c>
      <c r="C304" s="21" t="s">
        <v>379</v>
      </c>
      <c r="D304" s="23" t="s">
        <v>380</v>
      </c>
      <c r="E304" s="23"/>
      <c r="F304" s="23"/>
      <c r="G304" s="23"/>
      <c r="H304" s="23"/>
      <c r="I304" s="23"/>
      <c r="J304" s="23"/>
      <c r="K304" s="23"/>
      <c r="L304" s="25"/>
    </row>
    <row r="305" spans="1:12" hidden="1">
      <c r="A305" s="3" t="s">
        <v>208</v>
      </c>
      <c r="B305" s="19" t="s">
        <v>230</v>
      </c>
      <c r="C305" s="21" t="s">
        <v>381</v>
      </c>
      <c r="D305" s="23" t="s">
        <v>382</v>
      </c>
      <c r="E305" s="23"/>
      <c r="F305" s="23"/>
      <c r="G305" s="23"/>
      <c r="H305" s="23"/>
      <c r="I305" s="23"/>
      <c r="J305" s="23"/>
      <c r="K305" s="23"/>
      <c r="L305" s="25"/>
    </row>
    <row r="306" spans="1:12" hidden="1">
      <c r="A306" s="3" t="s">
        <v>208</v>
      </c>
      <c r="B306" s="19" t="s">
        <v>230</v>
      </c>
      <c r="C306" s="21" t="s">
        <v>383</v>
      </c>
      <c r="D306" s="23" t="s">
        <v>384</v>
      </c>
      <c r="E306" s="23"/>
      <c r="F306" s="23"/>
      <c r="G306" s="23"/>
      <c r="H306" s="23"/>
      <c r="I306" s="23"/>
      <c r="J306" s="23"/>
      <c r="K306" s="23"/>
      <c r="L306" s="25"/>
    </row>
    <row r="307" spans="1:12" hidden="1">
      <c r="A307" s="3" t="s">
        <v>208</v>
      </c>
      <c r="B307" s="19" t="s">
        <v>219</v>
      </c>
      <c r="C307" s="21" t="s">
        <v>385</v>
      </c>
      <c r="D307" s="23" t="s">
        <v>386</v>
      </c>
      <c r="E307" s="23"/>
      <c r="F307" s="23"/>
      <c r="G307" s="23"/>
      <c r="H307" s="23"/>
      <c r="I307" s="23"/>
      <c r="J307" s="23"/>
      <c r="K307" s="23"/>
      <c r="L307" s="25"/>
    </row>
    <row r="308" spans="1:12" ht="28.5" hidden="1">
      <c r="A308" s="3" t="s">
        <v>208</v>
      </c>
      <c r="B308" s="19" t="s">
        <v>219</v>
      </c>
      <c r="C308" s="21" t="s">
        <v>387</v>
      </c>
      <c r="D308" s="23" t="s">
        <v>388</v>
      </c>
      <c r="E308" s="23"/>
      <c r="F308" s="23"/>
      <c r="G308" s="23"/>
      <c r="H308" s="23"/>
      <c r="I308" s="23"/>
      <c r="J308" s="23"/>
      <c r="K308" s="23"/>
      <c r="L308" s="25"/>
    </row>
    <row r="309" spans="1:12" ht="28.5" hidden="1">
      <c r="A309" s="3" t="s">
        <v>208</v>
      </c>
      <c r="B309" s="19" t="s">
        <v>219</v>
      </c>
      <c r="C309" s="21" t="s">
        <v>389</v>
      </c>
      <c r="D309" s="23" t="s">
        <v>390</v>
      </c>
      <c r="E309" s="23"/>
      <c r="F309" s="2"/>
      <c r="G309" s="23"/>
      <c r="H309" s="23"/>
      <c r="I309" s="23"/>
      <c r="J309" s="23"/>
      <c r="K309" s="23"/>
      <c r="L309" s="25"/>
    </row>
    <row r="310" spans="1:12" hidden="1">
      <c r="A310" s="3" t="s">
        <v>15</v>
      </c>
      <c r="B310" s="19" t="s">
        <v>16</v>
      </c>
      <c r="C310" s="21" t="s">
        <v>391</v>
      </c>
      <c r="D310" s="23" t="s">
        <v>392</v>
      </c>
      <c r="E310" s="23"/>
      <c r="F310" s="23"/>
      <c r="G310" s="23"/>
      <c r="H310" s="23"/>
      <c r="I310" s="23"/>
      <c r="J310" s="23"/>
      <c r="K310" s="23"/>
      <c r="L310" s="25"/>
    </row>
    <row r="311" spans="1:12" ht="27" hidden="1">
      <c r="A311" s="3" t="s">
        <v>15</v>
      </c>
      <c r="B311" s="19" t="s">
        <v>16</v>
      </c>
      <c r="C311" s="21" t="s">
        <v>393</v>
      </c>
      <c r="D311" s="23" t="s">
        <v>394</v>
      </c>
      <c r="E311" s="21" t="s">
        <v>393</v>
      </c>
      <c r="F311" s="24" t="s">
        <v>655</v>
      </c>
      <c r="G311" s="23"/>
      <c r="H311" s="23"/>
      <c r="I311" s="23"/>
      <c r="J311" s="23"/>
      <c r="K311" s="23"/>
      <c r="L311" s="25"/>
    </row>
    <row r="312" spans="1:12" hidden="1">
      <c r="A312" s="3" t="s">
        <v>15</v>
      </c>
      <c r="B312" s="19" t="s">
        <v>16</v>
      </c>
      <c r="C312" s="21" t="s">
        <v>395</v>
      </c>
      <c r="D312" s="23" t="s">
        <v>396</v>
      </c>
      <c r="E312" s="23"/>
      <c r="F312" s="2"/>
      <c r="G312" s="23"/>
      <c r="H312" s="23"/>
      <c r="I312" s="23"/>
      <c r="J312" s="23"/>
      <c r="K312" s="23"/>
      <c r="L312" s="25"/>
    </row>
    <row r="313" spans="1:12" hidden="1">
      <c r="A313" s="3" t="s">
        <v>15</v>
      </c>
      <c r="B313" s="4" t="s">
        <v>16</v>
      </c>
      <c r="C313" s="1" t="s">
        <v>397</v>
      </c>
      <c r="D313" s="2" t="s">
        <v>398</v>
      </c>
      <c r="E313" s="1" t="s">
        <v>397</v>
      </c>
      <c r="F313" s="6" t="s">
        <v>655</v>
      </c>
      <c r="G313" s="2"/>
      <c r="H313" s="23"/>
      <c r="I313" s="23"/>
      <c r="J313" s="23"/>
      <c r="K313" s="23"/>
      <c r="L313" s="25"/>
    </row>
    <row r="314" spans="1:12" hidden="1">
      <c r="A314" s="3" t="s">
        <v>15</v>
      </c>
      <c r="B314" s="4" t="s">
        <v>399</v>
      </c>
      <c r="C314" s="1" t="s">
        <v>662</v>
      </c>
      <c r="D314" s="2" t="s">
        <v>400</v>
      </c>
      <c r="E314" s="1" t="s">
        <v>700</v>
      </c>
      <c r="F314" s="6" t="s">
        <v>655</v>
      </c>
      <c r="G314" s="2"/>
      <c r="H314" s="23"/>
      <c r="I314" s="23"/>
      <c r="J314" s="23" t="s">
        <v>7</v>
      </c>
      <c r="K314" s="23" t="s">
        <v>6</v>
      </c>
      <c r="L314" s="25"/>
    </row>
    <row r="315" spans="1:12" hidden="1">
      <c r="A315" s="3" t="s">
        <v>15</v>
      </c>
      <c r="B315" s="4" t="s">
        <v>16</v>
      </c>
      <c r="C315" s="1" t="s">
        <v>401</v>
      </c>
      <c r="D315" s="2" t="s">
        <v>402</v>
      </c>
      <c r="E315" s="2"/>
      <c r="F315" s="2"/>
      <c r="G315" s="2"/>
      <c r="H315" s="23"/>
      <c r="I315" s="23"/>
      <c r="J315" s="23" t="s">
        <v>4</v>
      </c>
      <c r="K315" s="23" t="s">
        <v>3</v>
      </c>
      <c r="L315" s="25"/>
    </row>
    <row r="316" spans="1:12" hidden="1">
      <c r="A316" s="3" t="s">
        <v>15</v>
      </c>
      <c r="B316" s="4" t="s">
        <v>16</v>
      </c>
      <c r="C316" s="1" t="s">
        <v>403</v>
      </c>
      <c r="D316" s="2" t="s">
        <v>404</v>
      </c>
      <c r="E316" s="2"/>
      <c r="F316" s="2"/>
      <c r="G316" s="2"/>
      <c r="H316" s="23"/>
      <c r="I316" s="23"/>
      <c r="J316" s="23" t="s">
        <v>4</v>
      </c>
      <c r="K316" s="23" t="s">
        <v>3</v>
      </c>
      <c r="L316" s="25"/>
    </row>
    <row r="317" spans="1:12" hidden="1">
      <c r="A317" s="3" t="s">
        <v>15</v>
      </c>
      <c r="B317" s="4" t="s">
        <v>16</v>
      </c>
      <c r="C317" s="1" t="s">
        <v>405</v>
      </c>
      <c r="D317" s="2" t="s">
        <v>406</v>
      </c>
      <c r="E317" s="2"/>
      <c r="F317" s="2"/>
      <c r="G317" s="2"/>
      <c r="H317" s="23"/>
      <c r="I317" s="23"/>
      <c r="J317" s="23"/>
      <c r="K317" s="23"/>
      <c r="L317" s="25"/>
    </row>
    <row r="318" spans="1:12" hidden="1">
      <c r="A318" s="3" t="s">
        <v>15</v>
      </c>
      <c r="B318" s="4" t="s">
        <v>399</v>
      </c>
      <c r="C318" s="1" t="s">
        <v>407</v>
      </c>
      <c r="D318" s="2" t="s">
        <v>408</v>
      </c>
      <c r="E318" s="2"/>
      <c r="F318" s="2"/>
      <c r="G318" s="2"/>
      <c r="H318" s="23"/>
      <c r="I318" s="23"/>
      <c r="J318" s="23"/>
      <c r="K318" s="23"/>
      <c r="L318" s="25"/>
    </row>
    <row r="319" spans="1:12" hidden="1">
      <c r="A319" s="3" t="s">
        <v>15</v>
      </c>
      <c r="B319" s="4" t="s">
        <v>16</v>
      </c>
      <c r="C319" s="1" t="s">
        <v>409</v>
      </c>
      <c r="D319" s="2" t="s">
        <v>410</v>
      </c>
      <c r="E319" s="2"/>
      <c r="F319" s="2"/>
      <c r="G319" s="2"/>
      <c r="H319" s="23"/>
      <c r="I319" s="23"/>
      <c r="J319" s="23" t="s">
        <v>4</v>
      </c>
      <c r="K319" s="23" t="s">
        <v>3</v>
      </c>
      <c r="L319" s="25"/>
    </row>
    <row r="320" spans="1:12" hidden="1">
      <c r="A320" s="3" t="s">
        <v>15</v>
      </c>
      <c r="B320" s="4" t="s">
        <v>16</v>
      </c>
      <c r="C320" s="1" t="s">
        <v>411</v>
      </c>
      <c r="D320" s="2" t="s">
        <v>412</v>
      </c>
      <c r="E320" s="2"/>
      <c r="F320" s="2"/>
      <c r="G320" s="2"/>
      <c r="H320" s="23"/>
      <c r="I320" s="23"/>
      <c r="J320" s="23" t="s">
        <v>4</v>
      </c>
      <c r="K320" s="23" t="s">
        <v>3</v>
      </c>
      <c r="L320" s="25"/>
    </row>
    <row r="321" spans="1:12" hidden="1">
      <c r="A321" s="3" t="s">
        <v>15</v>
      </c>
      <c r="B321" s="4" t="s">
        <v>16</v>
      </c>
      <c r="C321" s="1" t="s">
        <v>413</v>
      </c>
      <c r="D321" s="2" t="s">
        <v>414</v>
      </c>
      <c r="E321" s="2"/>
      <c r="F321" s="2"/>
      <c r="G321" s="2"/>
      <c r="H321" s="23"/>
      <c r="I321" s="23"/>
      <c r="J321" s="23" t="s">
        <v>4</v>
      </c>
      <c r="K321" s="23" t="s">
        <v>3</v>
      </c>
      <c r="L321" s="25"/>
    </row>
    <row r="322" spans="1:12" hidden="1">
      <c r="A322" s="3" t="s">
        <v>15</v>
      </c>
      <c r="B322" s="4" t="s">
        <v>16</v>
      </c>
      <c r="C322" s="1" t="s">
        <v>415</v>
      </c>
      <c r="D322" s="2" t="s">
        <v>416</v>
      </c>
      <c r="E322" s="2"/>
      <c r="F322" s="2"/>
      <c r="G322" s="2"/>
      <c r="H322" s="23"/>
      <c r="I322" s="23"/>
      <c r="J322" s="23" t="s">
        <v>4</v>
      </c>
      <c r="K322" s="23" t="s">
        <v>3</v>
      </c>
      <c r="L322" s="25"/>
    </row>
    <row r="323" spans="1:12" hidden="1">
      <c r="A323" s="3" t="s">
        <v>15</v>
      </c>
      <c r="B323" s="4" t="s">
        <v>417</v>
      </c>
      <c r="C323" s="1" t="s">
        <v>418</v>
      </c>
      <c r="D323" s="2" t="s">
        <v>419</v>
      </c>
      <c r="E323" s="2"/>
      <c r="F323" s="2"/>
      <c r="G323" s="2"/>
      <c r="H323" s="23"/>
      <c r="I323" s="23"/>
      <c r="J323" s="23"/>
      <c r="K323" s="23"/>
      <c r="L323" s="25"/>
    </row>
    <row r="324" spans="1:12" hidden="1">
      <c r="A324" s="3" t="s">
        <v>15</v>
      </c>
      <c r="B324" s="4" t="s">
        <v>16</v>
      </c>
      <c r="C324" s="1" t="s">
        <v>420</v>
      </c>
      <c r="D324" s="2" t="s">
        <v>421</v>
      </c>
      <c r="E324" s="1" t="s">
        <v>420</v>
      </c>
      <c r="F324" s="6" t="s">
        <v>655</v>
      </c>
      <c r="G324" s="2"/>
      <c r="H324" s="23"/>
      <c r="I324" s="23"/>
      <c r="J324" s="23"/>
      <c r="K324" s="23"/>
      <c r="L324" s="25"/>
    </row>
    <row r="325" spans="1:12" hidden="1">
      <c r="A325" s="3" t="s">
        <v>15</v>
      </c>
      <c r="B325" s="4" t="s">
        <v>417</v>
      </c>
      <c r="C325" s="1" t="s">
        <v>422</v>
      </c>
      <c r="D325" s="2" t="s">
        <v>423</v>
      </c>
      <c r="E325" s="2"/>
      <c r="F325" s="2"/>
      <c r="G325" s="2"/>
      <c r="H325" s="2"/>
      <c r="I325" s="2"/>
      <c r="J325" s="2"/>
      <c r="K325" s="2"/>
      <c r="L325" s="3"/>
    </row>
    <row r="326" spans="1:12" hidden="1">
      <c r="A326" s="3" t="s">
        <v>15</v>
      </c>
      <c r="B326" s="4" t="s">
        <v>417</v>
      </c>
      <c r="C326" s="1" t="s">
        <v>424</v>
      </c>
      <c r="D326" s="2" t="s">
        <v>425</v>
      </c>
      <c r="E326" s="2"/>
      <c r="F326" s="2"/>
      <c r="G326" s="2"/>
      <c r="H326" s="2"/>
      <c r="I326" s="2"/>
      <c r="J326" s="2"/>
      <c r="K326" s="2"/>
      <c r="L326" s="3"/>
    </row>
    <row r="327" spans="1:12" hidden="1">
      <c r="A327" s="3" t="s">
        <v>15</v>
      </c>
      <c r="B327" s="4" t="s">
        <v>426</v>
      </c>
      <c r="C327" s="1" t="s">
        <v>427</v>
      </c>
      <c r="D327" s="2" t="s">
        <v>428</v>
      </c>
      <c r="E327" s="2"/>
      <c r="F327" s="2"/>
      <c r="G327" s="2"/>
      <c r="H327" s="2"/>
      <c r="I327" s="2"/>
      <c r="J327" s="2"/>
      <c r="K327" s="2"/>
      <c r="L327" s="25"/>
    </row>
    <row r="328" spans="1:12" hidden="1">
      <c r="A328" s="3" t="s">
        <v>15</v>
      </c>
      <c r="B328" s="4" t="s">
        <v>417</v>
      </c>
      <c r="C328" s="1" t="s">
        <v>429</v>
      </c>
      <c r="D328" s="2" t="s">
        <v>430</v>
      </c>
      <c r="E328" s="2"/>
      <c r="F328" s="2"/>
      <c r="G328" s="2"/>
      <c r="H328" s="2"/>
      <c r="I328" s="2"/>
      <c r="J328" s="2"/>
      <c r="K328" s="2"/>
      <c r="L328" s="3"/>
    </row>
    <row r="329" spans="1:12" hidden="1">
      <c r="A329" s="3" t="s">
        <v>15</v>
      </c>
      <c r="B329" s="4" t="s">
        <v>417</v>
      </c>
      <c r="C329" s="1" t="s">
        <v>431</v>
      </c>
      <c r="D329" s="2" t="s">
        <v>432</v>
      </c>
      <c r="E329" s="2"/>
      <c r="F329" s="2"/>
      <c r="G329" s="2"/>
      <c r="H329" s="2"/>
      <c r="I329" s="2"/>
      <c r="J329" s="2"/>
      <c r="K329" s="2"/>
      <c r="L329" s="3"/>
    </row>
    <row r="330" spans="1:12" hidden="1">
      <c r="A330" s="3" t="s">
        <v>15</v>
      </c>
      <c r="B330" s="4" t="s">
        <v>417</v>
      </c>
      <c r="C330" s="1" t="s">
        <v>433</v>
      </c>
      <c r="D330" s="2" t="s">
        <v>434</v>
      </c>
      <c r="E330" s="1" t="s">
        <v>433</v>
      </c>
      <c r="F330" s="6" t="s">
        <v>655</v>
      </c>
      <c r="G330" s="2"/>
      <c r="H330" s="2"/>
      <c r="I330" s="2"/>
      <c r="J330" s="2"/>
      <c r="K330" s="2"/>
      <c r="L330" s="3"/>
    </row>
    <row r="331" spans="1:12" hidden="1">
      <c r="A331" s="3" t="s">
        <v>15</v>
      </c>
      <c r="B331" s="4" t="s">
        <v>417</v>
      </c>
      <c r="C331" s="1" t="s">
        <v>435</v>
      </c>
      <c r="D331" s="2" t="s">
        <v>436</v>
      </c>
      <c r="E331" s="2"/>
      <c r="F331" s="2"/>
      <c r="G331" s="2"/>
      <c r="H331" s="2"/>
      <c r="I331" s="2"/>
      <c r="J331" s="2"/>
      <c r="K331" s="2"/>
      <c r="L331" s="3"/>
    </row>
    <row r="332" spans="1:12" hidden="1">
      <c r="A332" s="3" t="s">
        <v>15</v>
      </c>
      <c r="B332" s="4" t="s">
        <v>399</v>
      </c>
      <c r="C332" s="1" t="s">
        <v>663</v>
      </c>
      <c r="D332" s="2" t="s">
        <v>437</v>
      </c>
      <c r="E332" s="2" t="s">
        <v>700</v>
      </c>
      <c r="F332" s="6" t="s">
        <v>655</v>
      </c>
      <c r="G332" s="2"/>
      <c r="H332" s="2"/>
      <c r="I332" s="2"/>
      <c r="J332" s="2" t="s">
        <v>7</v>
      </c>
      <c r="K332" s="2" t="s">
        <v>6</v>
      </c>
      <c r="L332" s="3"/>
    </row>
    <row r="333" spans="1:12" hidden="1">
      <c r="A333" s="3" t="s">
        <v>15</v>
      </c>
      <c r="B333" s="4" t="s">
        <v>399</v>
      </c>
      <c r="C333" s="1" t="s">
        <v>438</v>
      </c>
      <c r="D333" s="2" t="s">
        <v>439</v>
      </c>
      <c r="E333" s="2"/>
      <c r="F333" s="2"/>
      <c r="G333" s="2"/>
      <c r="H333" s="2"/>
      <c r="I333" s="2"/>
      <c r="J333" s="2"/>
      <c r="K333" s="2"/>
      <c r="L333" s="3"/>
    </row>
    <row r="334" spans="1:12" ht="42.75" hidden="1">
      <c r="A334" s="3" t="s">
        <v>15</v>
      </c>
      <c r="B334" s="4" t="s">
        <v>16</v>
      </c>
      <c r="C334" s="1" t="s">
        <v>440</v>
      </c>
      <c r="D334" s="2" t="s">
        <v>441</v>
      </c>
      <c r="E334" s="1" t="s">
        <v>440</v>
      </c>
      <c r="F334" s="6" t="s">
        <v>655</v>
      </c>
      <c r="G334" s="2"/>
      <c r="H334" s="2"/>
      <c r="I334" s="2"/>
      <c r="J334" s="2"/>
      <c r="K334" s="2"/>
      <c r="L334" s="3"/>
    </row>
    <row r="335" spans="1:12" hidden="1">
      <c r="A335" s="3" t="s">
        <v>15</v>
      </c>
      <c r="B335" s="4" t="s">
        <v>426</v>
      </c>
      <c r="C335" s="1" t="s">
        <v>442</v>
      </c>
      <c r="D335" s="2" t="s">
        <v>443</v>
      </c>
      <c r="E335" s="2"/>
      <c r="F335" s="2"/>
      <c r="G335" s="2"/>
      <c r="H335" s="2"/>
      <c r="I335" s="2"/>
      <c r="J335" s="2"/>
      <c r="K335" s="2"/>
      <c r="L335" s="3"/>
    </row>
    <row r="336" spans="1:12" hidden="1">
      <c r="A336" s="3" t="s">
        <v>15</v>
      </c>
      <c r="B336" s="4" t="s">
        <v>426</v>
      </c>
      <c r="C336" s="1" t="s">
        <v>444</v>
      </c>
      <c r="D336" s="2" t="s">
        <v>445</v>
      </c>
      <c r="E336" s="2"/>
      <c r="F336" s="2"/>
      <c r="G336" s="2"/>
      <c r="H336" s="2"/>
      <c r="I336" s="2"/>
      <c r="J336" s="2"/>
      <c r="K336" s="2"/>
      <c r="L336" s="3"/>
    </row>
    <row r="337" spans="1:12" hidden="1">
      <c r="A337" s="3" t="s">
        <v>15</v>
      </c>
      <c r="B337" s="4" t="s">
        <v>417</v>
      </c>
      <c r="C337" s="1" t="s">
        <v>446</v>
      </c>
      <c r="D337" s="2" t="s">
        <v>447</v>
      </c>
      <c r="E337" s="2"/>
      <c r="F337" s="2"/>
      <c r="G337" s="2"/>
      <c r="H337" s="2"/>
      <c r="I337" s="2"/>
      <c r="J337" s="2"/>
      <c r="K337" s="2"/>
      <c r="L337" s="3"/>
    </row>
    <row r="338" spans="1:12" hidden="1">
      <c r="A338" s="3" t="s">
        <v>15</v>
      </c>
      <c r="B338" s="4" t="s">
        <v>417</v>
      </c>
      <c r="C338" s="10" t="s">
        <v>448</v>
      </c>
      <c r="D338" s="2" t="s">
        <v>449</v>
      </c>
      <c r="E338" s="1" t="s">
        <v>448</v>
      </c>
      <c r="F338" s="6" t="s">
        <v>655</v>
      </c>
      <c r="G338" s="2"/>
      <c r="H338" s="2"/>
      <c r="I338" s="2"/>
      <c r="J338" s="2"/>
      <c r="K338" s="2"/>
      <c r="L338" s="3"/>
    </row>
    <row r="339" spans="1:12" hidden="1">
      <c r="A339" s="3" t="s">
        <v>15</v>
      </c>
      <c r="B339" s="4" t="s">
        <v>417</v>
      </c>
      <c r="C339" s="1" t="s">
        <v>450</v>
      </c>
      <c r="D339" s="2" t="s">
        <v>451</v>
      </c>
      <c r="E339" s="2"/>
      <c r="F339" s="2"/>
      <c r="G339" s="2"/>
      <c r="H339" s="2"/>
      <c r="I339" s="2"/>
      <c r="J339" s="2"/>
      <c r="K339" s="2"/>
      <c r="L339" s="3"/>
    </row>
    <row r="340" spans="1:12" hidden="1">
      <c r="A340" s="3" t="s">
        <v>15</v>
      </c>
      <c r="B340" s="4" t="s">
        <v>417</v>
      </c>
      <c r="C340" s="1" t="s">
        <v>452</v>
      </c>
      <c r="D340" s="2" t="s">
        <v>453</v>
      </c>
      <c r="E340" s="2"/>
      <c r="F340" s="2"/>
      <c r="G340" s="2"/>
      <c r="H340" s="2"/>
      <c r="I340" s="2"/>
      <c r="J340" s="2"/>
      <c r="K340" s="2"/>
      <c r="L340" s="3"/>
    </row>
    <row r="341" spans="1:12" hidden="1">
      <c r="A341" s="3" t="s">
        <v>15</v>
      </c>
      <c r="B341" s="4" t="s">
        <v>426</v>
      </c>
      <c r="C341" s="1" t="s">
        <v>454</v>
      </c>
      <c r="D341" s="2" t="s">
        <v>455</v>
      </c>
      <c r="E341" s="2"/>
      <c r="F341" s="2"/>
      <c r="G341" s="2"/>
      <c r="H341" s="2"/>
      <c r="I341" s="2"/>
      <c r="J341" s="2" t="s">
        <v>4</v>
      </c>
      <c r="K341" s="2" t="s">
        <v>5</v>
      </c>
      <c r="L341" s="3"/>
    </row>
    <row r="342" spans="1:12" hidden="1">
      <c r="A342" s="3" t="s">
        <v>15</v>
      </c>
      <c r="B342" s="4" t="s">
        <v>426</v>
      </c>
      <c r="C342" s="1" t="s">
        <v>456</v>
      </c>
      <c r="D342" s="2" t="s">
        <v>457</v>
      </c>
      <c r="E342" s="2"/>
      <c r="F342" s="2"/>
      <c r="G342" s="2"/>
      <c r="H342" s="2"/>
      <c r="I342" s="2"/>
      <c r="J342" s="2" t="s">
        <v>4</v>
      </c>
      <c r="K342" s="2" t="s">
        <v>5</v>
      </c>
      <c r="L342" s="3"/>
    </row>
    <row r="343" spans="1:12" hidden="1">
      <c r="A343" s="3" t="s">
        <v>15</v>
      </c>
      <c r="B343" s="4" t="s">
        <v>417</v>
      </c>
      <c r="C343" s="1" t="s">
        <v>458</v>
      </c>
      <c r="D343" s="2" t="s">
        <v>459</v>
      </c>
      <c r="E343" s="1" t="s">
        <v>458</v>
      </c>
      <c r="F343" s="6" t="s">
        <v>655</v>
      </c>
      <c r="G343" s="2"/>
      <c r="H343" s="2"/>
      <c r="I343" s="2"/>
      <c r="J343" s="2"/>
      <c r="K343" s="2"/>
      <c r="L343" s="3"/>
    </row>
    <row r="344" spans="1:12" hidden="1">
      <c r="A344" s="3" t="s">
        <v>15</v>
      </c>
      <c r="B344" s="4" t="s">
        <v>399</v>
      </c>
      <c r="C344" s="1" t="s">
        <v>660</v>
      </c>
      <c r="D344" s="2" t="s">
        <v>460</v>
      </c>
      <c r="E344" s="1" t="s">
        <v>660</v>
      </c>
      <c r="F344" s="6" t="s">
        <v>655</v>
      </c>
      <c r="G344" s="2"/>
      <c r="H344" s="2"/>
      <c r="I344" s="2"/>
      <c r="J344" s="2" t="s">
        <v>7</v>
      </c>
      <c r="K344" s="2" t="s">
        <v>6</v>
      </c>
      <c r="L344" s="3"/>
    </row>
    <row r="345" spans="1:12" hidden="1">
      <c r="A345" s="3" t="s">
        <v>15</v>
      </c>
      <c r="B345" s="4" t="s">
        <v>426</v>
      </c>
      <c r="C345" s="1" t="s">
        <v>461</v>
      </c>
      <c r="D345" s="2" t="s">
        <v>462</v>
      </c>
      <c r="E345" s="2"/>
      <c r="F345" s="2"/>
      <c r="G345" s="2"/>
      <c r="H345" s="2"/>
      <c r="I345" s="2"/>
      <c r="J345" s="2"/>
      <c r="K345" s="2"/>
      <c r="L345" s="3"/>
    </row>
    <row r="346" spans="1:12" hidden="1">
      <c r="A346" s="3" t="s">
        <v>15</v>
      </c>
      <c r="B346" s="4" t="s">
        <v>426</v>
      </c>
      <c r="C346" s="1" t="s">
        <v>463</v>
      </c>
      <c r="D346" s="2" t="s">
        <v>464</v>
      </c>
      <c r="E346" s="1" t="s">
        <v>463</v>
      </c>
      <c r="F346" s="6" t="s">
        <v>655</v>
      </c>
      <c r="G346" s="2"/>
      <c r="H346" s="2"/>
      <c r="I346" s="2"/>
      <c r="J346" s="2"/>
      <c r="K346" s="2"/>
      <c r="L346" s="3"/>
    </row>
    <row r="347" spans="1:12" hidden="1">
      <c r="A347" s="3" t="s">
        <v>15</v>
      </c>
      <c r="B347" s="4" t="s">
        <v>426</v>
      </c>
      <c r="C347" s="1" t="s">
        <v>465</v>
      </c>
      <c r="D347" s="2" t="s">
        <v>466</v>
      </c>
      <c r="E347" s="2"/>
      <c r="F347" s="2"/>
      <c r="G347" s="2"/>
      <c r="H347" s="2"/>
      <c r="I347" s="2"/>
      <c r="J347" s="2"/>
      <c r="K347" s="2"/>
      <c r="L347" s="3"/>
    </row>
    <row r="348" spans="1:12" hidden="1">
      <c r="A348" s="3" t="s">
        <v>15</v>
      </c>
      <c r="B348" s="4" t="s">
        <v>399</v>
      </c>
      <c r="C348" s="1" t="s">
        <v>661</v>
      </c>
      <c r="D348" s="2" t="s">
        <v>467</v>
      </c>
      <c r="E348" s="2" t="s">
        <v>700</v>
      </c>
      <c r="F348" s="6" t="s">
        <v>655</v>
      </c>
      <c r="G348" s="2"/>
      <c r="H348" s="2"/>
      <c r="I348" s="2"/>
      <c r="J348" s="2" t="s">
        <v>7</v>
      </c>
      <c r="K348" s="2" t="s">
        <v>6</v>
      </c>
      <c r="L348" s="3"/>
    </row>
    <row r="349" spans="1:12" hidden="1">
      <c r="A349" s="3" t="s">
        <v>15</v>
      </c>
      <c r="B349" s="4" t="s">
        <v>16</v>
      </c>
      <c r="C349" s="1" t="s">
        <v>468</v>
      </c>
      <c r="D349" s="2" t="s">
        <v>469</v>
      </c>
      <c r="E349" s="2"/>
      <c r="F349" s="2"/>
      <c r="G349" s="2"/>
      <c r="H349" s="2"/>
      <c r="I349" s="2"/>
      <c r="J349" s="2"/>
      <c r="K349" s="2"/>
      <c r="L349" s="3"/>
    </row>
    <row r="350" spans="1:12" hidden="1">
      <c r="A350" s="3" t="s">
        <v>15</v>
      </c>
      <c r="B350" s="4" t="s">
        <v>16</v>
      </c>
      <c r="C350" s="1" t="s">
        <v>470</v>
      </c>
      <c r="D350" s="2" t="s">
        <v>471</v>
      </c>
      <c r="E350" s="1" t="s">
        <v>470</v>
      </c>
      <c r="F350" s="6" t="s">
        <v>655</v>
      </c>
      <c r="G350" s="2"/>
      <c r="H350" s="2"/>
      <c r="I350" s="2"/>
      <c r="J350" s="2"/>
      <c r="K350" s="2"/>
      <c r="L350" s="3"/>
    </row>
    <row r="351" spans="1:12" ht="28.5" hidden="1">
      <c r="A351" s="3" t="s">
        <v>15</v>
      </c>
      <c r="B351" s="4" t="s">
        <v>426</v>
      </c>
      <c r="C351" s="1" t="s">
        <v>472</v>
      </c>
      <c r="D351" s="2" t="s">
        <v>473</v>
      </c>
      <c r="E351" s="2"/>
      <c r="F351" s="2"/>
      <c r="G351" s="2"/>
      <c r="H351" s="2"/>
      <c r="I351" s="2"/>
      <c r="J351" s="2" t="s">
        <v>4</v>
      </c>
      <c r="K351" s="2" t="s">
        <v>5</v>
      </c>
      <c r="L351" s="3"/>
    </row>
    <row r="352" spans="1:12" hidden="1">
      <c r="A352" s="3" t="s">
        <v>15</v>
      </c>
      <c r="B352" s="4" t="s">
        <v>417</v>
      </c>
      <c r="C352" s="1" t="s">
        <v>474</v>
      </c>
      <c r="D352" s="2" t="s">
        <v>475</v>
      </c>
      <c r="E352" s="2"/>
      <c r="F352" s="2"/>
      <c r="G352" s="2"/>
      <c r="H352" s="2"/>
      <c r="I352" s="2"/>
      <c r="J352" s="2"/>
      <c r="K352" s="2"/>
      <c r="L352" s="3"/>
    </row>
    <row r="353" spans="1:12" hidden="1">
      <c r="A353" s="3" t="s">
        <v>15</v>
      </c>
      <c r="B353" s="4" t="s">
        <v>16</v>
      </c>
      <c r="C353" s="1" t="s">
        <v>476</v>
      </c>
      <c r="D353" s="2" t="s">
        <v>477</v>
      </c>
      <c r="E353" s="1" t="s">
        <v>474</v>
      </c>
      <c r="F353" s="6" t="s">
        <v>655</v>
      </c>
      <c r="G353" s="2"/>
      <c r="H353" s="2"/>
      <c r="I353" s="2"/>
      <c r="J353" s="2"/>
      <c r="K353" s="2"/>
      <c r="L353" s="3"/>
    </row>
    <row r="354" spans="1:12" hidden="1">
      <c r="A354" s="3" t="s">
        <v>15</v>
      </c>
      <c r="B354" s="4" t="s">
        <v>16</v>
      </c>
      <c r="C354" s="1" t="s">
        <v>478</v>
      </c>
      <c r="D354" s="2" t="s">
        <v>479</v>
      </c>
      <c r="E354" s="2"/>
      <c r="F354" s="2"/>
      <c r="G354" s="2"/>
      <c r="H354" s="2"/>
      <c r="I354" s="2"/>
      <c r="J354" s="2" t="s">
        <v>4</v>
      </c>
      <c r="K354" s="2" t="s">
        <v>3</v>
      </c>
      <c r="L354" s="3"/>
    </row>
    <row r="355" spans="1:12" ht="28.5" hidden="1">
      <c r="A355" s="3" t="s">
        <v>15</v>
      </c>
      <c r="B355" s="4" t="s">
        <v>16</v>
      </c>
      <c r="C355" s="1" t="s">
        <v>480</v>
      </c>
      <c r="D355" s="2" t="s">
        <v>481</v>
      </c>
      <c r="E355" s="2"/>
      <c r="F355" s="2"/>
      <c r="G355" s="2"/>
      <c r="H355" s="2"/>
      <c r="I355" s="2"/>
      <c r="J355" s="2" t="s">
        <v>4</v>
      </c>
      <c r="K355" s="2" t="s">
        <v>3</v>
      </c>
      <c r="L355" s="3"/>
    </row>
    <row r="356" spans="1:12" hidden="1">
      <c r="A356" s="3" t="s">
        <v>15</v>
      </c>
      <c r="B356" s="4" t="s">
        <v>426</v>
      </c>
      <c r="C356" s="1" t="s">
        <v>482</v>
      </c>
      <c r="D356" s="2" t="s">
        <v>483</v>
      </c>
      <c r="E356" s="2"/>
      <c r="F356" s="2"/>
      <c r="G356" s="2"/>
      <c r="H356" s="2"/>
      <c r="I356" s="2"/>
      <c r="J356" s="2" t="s">
        <v>4</v>
      </c>
      <c r="K356" s="2" t="s">
        <v>5</v>
      </c>
      <c r="L356" s="3"/>
    </row>
    <row r="357" spans="1:12" hidden="1">
      <c r="A357" s="3" t="s">
        <v>15</v>
      </c>
      <c r="B357" s="4" t="s">
        <v>426</v>
      </c>
      <c r="C357" s="1" t="s">
        <v>484</v>
      </c>
      <c r="D357" s="2" t="s">
        <v>485</v>
      </c>
      <c r="E357" s="2"/>
      <c r="F357" s="2"/>
      <c r="G357" s="2"/>
      <c r="H357" s="2"/>
      <c r="I357" s="2"/>
      <c r="J357" s="2" t="s">
        <v>4</v>
      </c>
      <c r="K357" s="2" t="s">
        <v>5</v>
      </c>
      <c r="L357" s="3"/>
    </row>
    <row r="358" spans="1:12" hidden="1">
      <c r="A358" s="3" t="s">
        <v>15</v>
      </c>
      <c r="B358" s="4" t="s">
        <v>417</v>
      </c>
      <c r="C358" s="1" t="s">
        <v>486</v>
      </c>
      <c r="D358" s="2" t="s">
        <v>487</v>
      </c>
      <c r="E358" s="2"/>
      <c r="F358" s="2"/>
      <c r="G358" s="2"/>
      <c r="H358" s="2"/>
      <c r="I358" s="2"/>
      <c r="J358" s="2"/>
      <c r="K358" s="2"/>
      <c r="L358" s="3"/>
    </row>
    <row r="359" spans="1:12" hidden="1">
      <c r="A359" s="3" t="s">
        <v>15</v>
      </c>
      <c r="B359" s="4" t="s">
        <v>417</v>
      </c>
      <c r="C359" s="1" t="s">
        <v>488</v>
      </c>
      <c r="D359" s="2" t="s">
        <v>489</v>
      </c>
      <c r="E359" s="2"/>
      <c r="F359" s="2"/>
      <c r="G359" s="2"/>
      <c r="H359" s="2"/>
      <c r="I359" s="2"/>
      <c r="J359" s="2"/>
      <c r="K359" s="2"/>
      <c r="L359" s="3"/>
    </row>
    <row r="360" spans="1:12" hidden="1">
      <c r="A360" s="3" t="s">
        <v>15</v>
      </c>
      <c r="B360" s="4" t="s">
        <v>417</v>
      </c>
      <c r="C360" s="1" t="s">
        <v>490</v>
      </c>
      <c r="D360" s="2" t="s">
        <v>491</v>
      </c>
      <c r="E360" s="1" t="s">
        <v>490</v>
      </c>
      <c r="F360" s="6" t="s">
        <v>655</v>
      </c>
      <c r="G360" s="2"/>
      <c r="H360" s="2"/>
      <c r="I360" s="2"/>
      <c r="J360" s="2"/>
      <c r="K360" s="2"/>
      <c r="L360" s="3"/>
    </row>
    <row r="361" spans="1:12" hidden="1">
      <c r="A361" s="3" t="s">
        <v>15</v>
      </c>
      <c r="B361" s="4" t="s">
        <v>417</v>
      </c>
      <c r="C361" s="1" t="s">
        <v>492</v>
      </c>
      <c r="D361" s="2" t="s">
        <v>493</v>
      </c>
      <c r="E361" s="2"/>
      <c r="F361" s="2"/>
      <c r="G361" s="2"/>
      <c r="H361" s="2"/>
      <c r="I361" s="2"/>
      <c r="J361" s="2"/>
      <c r="K361" s="2"/>
      <c r="L361" s="3"/>
    </row>
    <row r="362" spans="1:12" hidden="1">
      <c r="A362" s="3" t="s">
        <v>15</v>
      </c>
      <c r="B362" s="4" t="s">
        <v>417</v>
      </c>
      <c r="C362" s="1" t="s">
        <v>494</v>
      </c>
      <c r="D362" s="2" t="s">
        <v>495</v>
      </c>
      <c r="E362" s="2"/>
      <c r="F362" s="2"/>
      <c r="G362" s="2"/>
      <c r="H362" s="2"/>
      <c r="I362" s="2"/>
      <c r="J362" s="2"/>
      <c r="K362" s="2"/>
      <c r="L362" s="3"/>
    </row>
    <row r="363" spans="1:12" hidden="1">
      <c r="A363" s="3" t="s">
        <v>15</v>
      </c>
      <c r="B363" s="4" t="s">
        <v>417</v>
      </c>
      <c r="C363" s="1" t="s">
        <v>496</v>
      </c>
      <c r="D363" s="2" t="s">
        <v>497</v>
      </c>
      <c r="E363" s="1" t="s">
        <v>496</v>
      </c>
      <c r="F363" s="6" t="s">
        <v>655</v>
      </c>
      <c r="G363" s="2"/>
      <c r="H363" s="2"/>
      <c r="I363" s="2"/>
      <c r="J363" s="2"/>
      <c r="K363" s="2"/>
      <c r="L363" s="3"/>
    </row>
    <row r="364" spans="1:12" hidden="1">
      <c r="A364" s="3" t="s">
        <v>15</v>
      </c>
      <c r="B364" s="4" t="s">
        <v>417</v>
      </c>
      <c r="C364" s="1" t="s">
        <v>498</v>
      </c>
      <c r="D364" s="2" t="s">
        <v>499</v>
      </c>
      <c r="E364" s="2"/>
      <c r="F364" s="2"/>
      <c r="G364" s="2"/>
      <c r="H364" s="2"/>
      <c r="I364" s="2"/>
      <c r="J364" s="2"/>
      <c r="K364" s="2"/>
      <c r="L364" s="3"/>
    </row>
    <row r="365" spans="1:12" hidden="1">
      <c r="A365" s="3" t="s">
        <v>15</v>
      </c>
      <c r="B365" s="4" t="s">
        <v>426</v>
      </c>
      <c r="C365" s="1" t="s">
        <v>500</v>
      </c>
      <c r="D365" s="2" t="s">
        <v>501</v>
      </c>
      <c r="E365" s="2"/>
      <c r="F365" s="2"/>
      <c r="G365" s="2"/>
      <c r="H365" s="2"/>
      <c r="I365" s="2"/>
      <c r="J365" s="2"/>
      <c r="K365" s="2"/>
      <c r="L365" s="3"/>
    </row>
    <row r="366" spans="1:12" hidden="1">
      <c r="A366" s="3" t="s">
        <v>15</v>
      </c>
      <c r="B366" s="4" t="s">
        <v>426</v>
      </c>
      <c r="C366" s="1" t="s">
        <v>500</v>
      </c>
      <c r="D366" s="2" t="s">
        <v>502</v>
      </c>
      <c r="E366" s="2"/>
      <c r="F366" s="2"/>
      <c r="G366" s="2"/>
      <c r="H366" s="2"/>
      <c r="I366" s="2"/>
      <c r="J366" s="2"/>
      <c r="K366" s="2"/>
      <c r="L366" s="3"/>
    </row>
    <row r="367" spans="1:12" hidden="1">
      <c r="A367" s="3" t="s">
        <v>15</v>
      </c>
      <c r="B367" s="4" t="s">
        <v>426</v>
      </c>
      <c r="C367" s="1" t="s">
        <v>503</v>
      </c>
      <c r="D367" s="2" t="s">
        <v>504</v>
      </c>
      <c r="E367" s="2"/>
      <c r="F367" s="2"/>
      <c r="G367" s="2"/>
      <c r="H367" s="2"/>
      <c r="I367" s="2"/>
      <c r="J367" s="2"/>
      <c r="K367" s="2"/>
      <c r="L367" s="3"/>
    </row>
    <row r="368" spans="1:12" hidden="1">
      <c r="A368" s="3" t="s">
        <v>15</v>
      </c>
      <c r="B368" s="4" t="s">
        <v>417</v>
      </c>
      <c r="C368" s="1" t="s">
        <v>505</v>
      </c>
      <c r="D368" s="2" t="s">
        <v>506</v>
      </c>
      <c r="E368" s="1" t="s">
        <v>505</v>
      </c>
      <c r="F368" s="6" t="s">
        <v>655</v>
      </c>
      <c r="G368" s="2"/>
      <c r="H368" s="2"/>
      <c r="I368" s="2"/>
      <c r="J368" s="2"/>
      <c r="K368" s="2"/>
      <c r="L368" s="3"/>
    </row>
    <row r="369" spans="1:12" hidden="1">
      <c r="A369" s="3" t="s">
        <v>15</v>
      </c>
      <c r="B369" s="4" t="s">
        <v>399</v>
      </c>
      <c r="C369" s="1" t="s">
        <v>507</v>
      </c>
      <c r="D369" s="2" t="s">
        <v>508</v>
      </c>
      <c r="E369" s="2"/>
      <c r="F369" s="2"/>
      <c r="G369" s="2"/>
      <c r="H369" s="2"/>
      <c r="I369" s="2"/>
      <c r="J369" s="2"/>
      <c r="K369" s="2"/>
      <c r="L369" s="3"/>
    </row>
    <row r="370" spans="1:12" hidden="1">
      <c r="A370" s="3" t="s">
        <v>15</v>
      </c>
      <c r="B370" s="4" t="s">
        <v>426</v>
      </c>
      <c r="C370" s="1" t="s">
        <v>509</v>
      </c>
      <c r="D370" s="2" t="s">
        <v>510</v>
      </c>
      <c r="E370" s="2"/>
      <c r="F370" s="2"/>
      <c r="G370" s="2"/>
      <c r="H370" s="2"/>
      <c r="I370" s="2"/>
      <c r="J370" s="2" t="s">
        <v>4</v>
      </c>
      <c r="K370" s="2" t="s">
        <v>5</v>
      </c>
      <c r="L370" s="3"/>
    </row>
    <row r="371" spans="1:12" hidden="1">
      <c r="A371" s="3" t="s">
        <v>15</v>
      </c>
      <c r="B371" s="4" t="s">
        <v>426</v>
      </c>
      <c r="C371" s="1" t="s">
        <v>511</v>
      </c>
      <c r="D371" s="2" t="s">
        <v>512</v>
      </c>
      <c r="E371" s="2"/>
      <c r="F371" s="2"/>
      <c r="G371" s="2"/>
      <c r="H371" s="2"/>
      <c r="I371" s="2"/>
      <c r="J371" s="2" t="s">
        <v>4</v>
      </c>
      <c r="K371" s="2" t="s">
        <v>5</v>
      </c>
      <c r="L371" s="3"/>
    </row>
    <row r="372" spans="1:12" hidden="1">
      <c r="A372" s="3" t="s">
        <v>15</v>
      </c>
      <c r="B372" s="4" t="s">
        <v>399</v>
      </c>
      <c r="C372" s="1" t="s">
        <v>513</v>
      </c>
      <c r="D372" s="2" t="s">
        <v>514</v>
      </c>
      <c r="E372" s="2"/>
      <c r="F372" s="2"/>
      <c r="G372" s="2"/>
      <c r="H372" s="2"/>
      <c r="I372" s="2"/>
      <c r="J372" s="2" t="s">
        <v>7</v>
      </c>
      <c r="K372" s="2" t="s">
        <v>6</v>
      </c>
      <c r="L372" s="3"/>
    </row>
  </sheetData>
  <autoFilter ref="A1:L372">
    <filterColumn colId="0">
      <filters>
        <filter val="成长"/>
      </filters>
    </filterColumn>
    <sortState ref="A2:L372">
      <sortCondition ref="A2:A372"/>
      <sortCondition ref="C2:C372"/>
    </sortState>
  </autoFilter>
  <sortState ref="A2:I347">
    <sortCondition ref="C45"/>
  </sortState>
  <phoneticPr fontId="9" type="noConversion"/>
  <conditionalFormatting sqref="C4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8"/>
  <sheetViews>
    <sheetView tabSelected="1" workbookViewId="0">
      <pane xSplit="1" ySplit="1" topLeftCell="B352" activePane="bottomRight" state="frozenSplit"/>
      <selection pane="topRight" activeCell="B1" sqref="B1"/>
      <selection pane="bottomLeft" activeCell="A2" sqref="A2"/>
      <selection pane="bottomRight" activeCell="D363" sqref="D363"/>
    </sheetView>
  </sheetViews>
  <sheetFormatPr defaultRowHeight="14.25"/>
  <cols>
    <col min="2" max="2" width="16.375" style="9" customWidth="1"/>
    <col min="3" max="3" width="20.5" customWidth="1"/>
    <col min="4" max="4" width="56.5" style="9" customWidth="1"/>
    <col min="5" max="5" width="16.375" customWidth="1"/>
    <col min="6" max="6" width="8" customWidth="1"/>
    <col min="7" max="7" width="7.5" customWidth="1"/>
    <col min="8" max="8" width="12.5" style="35" customWidth="1"/>
    <col min="9" max="9" width="12.75" style="35" bestFit="1" customWidth="1"/>
    <col min="10" max="10" width="10" style="35" hidden="1" customWidth="1"/>
    <col min="11" max="11" width="18.375" style="9" hidden="1" customWidth="1"/>
    <col min="12" max="13" width="10.5" hidden="1" customWidth="1"/>
    <col min="14" max="14" width="37.625" style="68" customWidth="1"/>
    <col min="15" max="15" width="12.625" customWidth="1"/>
    <col min="16" max="16" width="13" bestFit="1" customWidth="1"/>
  </cols>
  <sheetData>
    <row r="1" spans="1:16" s="9" customFormat="1" ht="28.5">
      <c r="A1" s="39" t="s">
        <v>8</v>
      </c>
      <c r="B1" s="45" t="s">
        <v>9</v>
      </c>
      <c r="C1" s="39" t="s">
        <v>0</v>
      </c>
      <c r="D1" s="39" t="s">
        <v>650</v>
      </c>
      <c r="E1" s="39" t="s">
        <v>32</v>
      </c>
      <c r="F1" s="39" t="s">
        <v>653</v>
      </c>
      <c r="G1" s="47" t="s">
        <v>648</v>
      </c>
      <c r="H1" s="59" t="s">
        <v>1469</v>
      </c>
      <c r="I1" s="57" t="s">
        <v>1470</v>
      </c>
      <c r="J1" s="48" t="s">
        <v>651</v>
      </c>
      <c r="K1" s="13" t="s">
        <v>701</v>
      </c>
      <c r="L1" s="12" t="s">
        <v>1</v>
      </c>
      <c r="M1" s="13" t="s">
        <v>2</v>
      </c>
      <c r="N1" s="67" t="s">
        <v>1350</v>
      </c>
      <c r="O1" s="58" t="s">
        <v>1351</v>
      </c>
      <c r="P1" s="9" t="s">
        <v>1848</v>
      </c>
    </row>
    <row r="2" spans="1:16" ht="41.25">
      <c r="A2" s="53" t="s">
        <v>19</v>
      </c>
      <c r="B2" s="8"/>
      <c r="C2" s="54" t="s">
        <v>63</v>
      </c>
      <c r="D2" s="55" t="s">
        <v>1401</v>
      </c>
      <c r="E2" s="55" t="s">
        <v>552</v>
      </c>
      <c r="F2" s="55"/>
      <c r="G2" s="2"/>
      <c r="H2" s="55"/>
      <c r="I2" s="56">
        <v>0.05</v>
      </c>
      <c r="J2" s="2"/>
      <c r="K2" s="2"/>
      <c r="L2" s="2"/>
      <c r="M2" s="3"/>
      <c r="N2" t="s">
        <v>1400</v>
      </c>
      <c r="O2" t="s">
        <v>1387</v>
      </c>
      <c r="P2" t="s">
        <v>1829</v>
      </c>
    </row>
    <row r="3" spans="1:16">
      <c r="A3" s="3" t="s">
        <v>19</v>
      </c>
      <c r="B3" s="8"/>
      <c r="C3" s="1" t="s">
        <v>1852</v>
      </c>
      <c r="D3" s="6" t="s">
        <v>1402</v>
      </c>
      <c r="E3" s="2" t="s">
        <v>553</v>
      </c>
      <c r="F3" s="2"/>
      <c r="G3" s="2"/>
      <c r="H3" s="2"/>
      <c r="I3" s="36">
        <v>4.9000000000000002E-2</v>
      </c>
      <c r="J3" s="2"/>
      <c r="K3" s="2"/>
      <c r="L3" s="2"/>
      <c r="M3" s="3"/>
      <c r="N3" t="s">
        <v>1400</v>
      </c>
      <c r="O3" t="s">
        <v>1387</v>
      </c>
      <c r="P3" t="s">
        <v>1830</v>
      </c>
    </row>
    <row r="4" spans="1:16">
      <c r="A4" s="3" t="s">
        <v>19</v>
      </c>
      <c r="B4" s="8"/>
      <c r="C4" s="1" t="s">
        <v>66</v>
      </c>
      <c r="D4" s="2" t="s">
        <v>67</v>
      </c>
      <c r="E4" s="2" t="s">
        <v>590</v>
      </c>
      <c r="F4" s="6"/>
      <c r="G4" s="2"/>
      <c r="H4" s="2"/>
      <c r="I4" s="36">
        <v>4.7E-2</v>
      </c>
      <c r="J4" s="2"/>
      <c r="K4" s="2"/>
      <c r="L4" s="2"/>
      <c r="M4" s="3"/>
      <c r="N4"/>
      <c r="P4" t="s">
        <v>1841</v>
      </c>
    </row>
    <row r="5" spans="1:16">
      <c r="A5" s="3" t="s">
        <v>19</v>
      </c>
      <c r="B5" s="8"/>
      <c r="C5" s="1" t="s">
        <v>628</v>
      </c>
      <c r="D5" s="6" t="s">
        <v>629</v>
      </c>
      <c r="E5" s="2" t="s">
        <v>589</v>
      </c>
      <c r="F5" s="2"/>
      <c r="G5" s="2"/>
      <c r="H5" s="2"/>
      <c r="I5" s="36">
        <v>4.7E-2</v>
      </c>
      <c r="J5" s="2"/>
      <c r="K5" s="2"/>
      <c r="L5" s="2"/>
      <c r="M5" s="3"/>
      <c r="N5" t="s">
        <v>1459</v>
      </c>
      <c r="O5" t="s">
        <v>1460</v>
      </c>
      <c r="P5" t="s">
        <v>1847</v>
      </c>
    </row>
    <row r="6" spans="1:16">
      <c r="A6" s="3" t="s">
        <v>19</v>
      </c>
      <c r="B6" s="8"/>
      <c r="C6" s="1" t="s">
        <v>46</v>
      </c>
      <c r="D6" s="2" t="s">
        <v>1373</v>
      </c>
      <c r="E6" s="2" t="s">
        <v>46</v>
      </c>
      <c r="F6" s="6" t="s">
        <v>655</v>
      </c>
      <c r="G6" s="2"/>
      <c r="H6" s="2"/>
      <c r="I6" s="36">
        <v>4.3999999999999997E-2</v>
      </c>
      <c r="J6" s="2"/>
      <c r="K6" s="2"/>
      <c r="L6" s="2"/>
      <c r="M6" s="3"/>
      <c r="N6" t="s">
        <v>1369</v>
      </c>
      <c r="O6" t="s">
        <v>1372</v>
      </c>
      <c r="P6" t="s">
        <v>1829</v>
      </c>
    </row>
    <row r="7" spans="1:16" ht="57">
      <c r="A7" s="3" t="s">
        <v>19</v>
      </c>
      <c r="B7" s="8"/>
      <c r="C7" s="1" t="s">
        <v>72</v>
      </c>
      <c r="D7" s="2" t="s">
        <v>2306</v>
      </c>
      <c r="E7" s="2" t="s">
        <v>596</v>
      </c>
      <c r="F7" s="6" t="s">
        <v>655</v>
      </c>
      <c r="G7" s="2"/>
      <c r="H7" s="2"/>
      <c r="I7" s="36">
        <v>4.2999999999999997E-2</v>
      </c>
      <c r="J7" s="2"/>
      <c r="K7" s="2"/>
      <c r="L7" s="2"/>
      <c r="M7" s="3"/>
      <c r="N7"/>
      <c r="P7" t="s">
        <v>1840</v>
      </c>
    </row>
    <row r="8" spans="1:16" ht="41.25">
      <c r="A8" s="3" t="s">
        <v>19</v>
      </c>
      <c r="B8" s="8"/>
      <c r="C8" s="1" t="s">
        <v>65</v>
      </c>
      <c r="D8" s="2" t="s">
        <v>1403</v>
      </c>
      <c r="E8" s="2" t="s">
        <v>587</v>
      </c>
      <c r="F8" s="2"/>
      <c r="G8" s="2"/>
      <c r="H8" s="2"/>
      <c r="I8" s="36">
        <v>4.1000000000000002E-2</v>
      </c>
      <c r="J8" s="2"/>
      <c r="K8" s="2"/>
      <c r="L8" s="2"/>
      <c r="M8" s="3"/>
      <c r="N8" t="s">
        <v>1400</v>
      </c>
      <c r="O8" t="s">
        <v>1404</v>
      </c>
      <c r="P8" t="s">
        <v>1829</v>
      </c>
    </row>
    <row r="9" spans="1:16" ht="28.5">
      <c r="A9" s="3" t="s">
        <v>19</v>
      </c>
      <c r="B9" s="8"/>
      <c r="C9" s="1" t="s">
        <v>73</v>
      </c>
      <c r="D9" s="2" t="s">
        <v>1412</v>
      </c>
      <c r="E9" s="2" t="s">
        <v>608</v>
      </c>
      <c r="F9" s="2"/>
      <c r="G9" s="2"/>
      <c r="H9" s="2"/>
      <c r="I9" s="36">
        <v>4.1000000000000002E-2</v>
      </c>
      <c r="J9" s="2"/>
      <c r="K9" s="2"/>
      <c r="L9" s="2"/>
      <c r="M9" s="3"/>
      <c r="N9" t="s">
        <v>1409</v>
      </c>
      <c r="O9" t="s">
        <v>1410</v>
      </c>
      <c r="P9" t="s">
        <v>1830</v>
      </c>
    </row>
    <row r="10" spans="1:16" ht="28.5">
      <c r="A10" s="3" t="s">
        <v>19</v>
      </c>
      <c r="B10" s="8"/>
      <c r="C10" s="1" t="s">
        <v>88</v>
      </c>
      <c r="D10" s="2" t="s">
        <v>2305</v>
      </c>
      <c r="E10" s="2" t="s">
        <v>88</v>
      </c>
      <c r="F10" s="2"/>
      <c r="G10" s="2"/>
      <c r="H10" s="2"/>
      <c r="I10" s="36">
        <v>0.04</v>
      </c>
      <c r="J10" s="2"/>
      <c r="K10" s="2"/>
      <c r="L10" s="2"/>
      <c r="M10" s="3"/>
      <c r="N10" t="s">
        <v>1417</v>
      </c>
      <c r="O10" t="s">
        <v>1387</v>
      </c>
      <c r="P10" t="s">
        <v>1840</v>
      </c>
    </row>
    <row r="11" spans="1:16" ht="28.5">
      <c r="A11" s="3" t="s">
        <v>19</v>
      </c>
      <c r="B11" s="8"/>
      <c r="C11" s="1" t="s">
        <v>516</v>
      </c>
      <c r="D11" s="2" t="s">
        <v>1455</v>
      </c>
      <c r="E11" s="2" t="s">
        <v>516</v>
      </c>
      <c r="F11" s="2"/>
      <c r="G11" s="2"/>
      <c r="H11" s="2"/>
      <c r="I11" s="36">
        <v>0.04</v>
      </c>
      <c r="J11" s="2"/>
      <c r="K11" s="2"/>
      <c r="L11" s="2"/>
      <c r="M11" s="3"/>
      <c r="N11" t="s">
        <v>1453</v>
      </c>
      <c r="O11" t="s">
        <v>1454</v>
      </c>
      <c r="P11" t="s">
        <v>1847</v>
      </c>
    </row>
    <row r="12" spans="1:16">
      <c r="A12" s="3" t="s">
        <v>19</v>
      </c>
      <c r="B12" s="8"/>
      <c r="C12" s="1" t="s">
        <v>1851</v>
      </c>
      <c r="D12" s="6" t="s">
        <v>1364</v>
      </c>
      <c r="E12" s="2" t="s">
        <v>536</v>
      </c>
      <c r="F12" s="2"/>
      <c r="G12" s="2"/>
      <c r="H12" s="2"/>
      <c r="I12" s="36">
        <v>3.9E-2</v>
      </c>
      <c r="J12" s="2"/>
      <c r="K12" s="2"/>
      <c r="L12" s="2"/>
      <c r="M12" s="3"/>
      <c r="N12" t="s">
        <v>1365</v>
      </c>
      <c r="O12" t="s">
        <v>1366</v>
      </c>
      <c r="P12" t="s">
        <v>1827</v>
      </c>
    </row>
    <row r="13" spans="1:16">
      <c r="A13" s="3" t="s">
        <v>19</v>
      </c>
      <c r="B13" s="8"/>
      <c r="C13" s="1" t="s">
        <v>517</v>
      </c>
      <c r="D13" s="2" t="s">
        <v>1458</v>
      </c>
      <c r="E13" s="2" t="s">
        <v>517</v>
      </c>
      <c r="F13" s="6" t="s">
        <v>655</v>
      </c>
      <c r="G13" s="2"/>
      <c r="H13" s="2"/>
      <c r="I13" s="36">
        <v>3.9E-2</v>
      </c>
      <c r="J13" s="2"/>
      <c r="K13" s="2"/>
      <c r="L13" s="2"/>
      <c r="M13" s="3"/>
      <c r="N13" t="s">
        <v>1457</v>
      </c>
      <c r="O13" t="s">
        <v>1454</v>
      </c>
      <c r="P13" t="s">
        <v>1847</v>
      </c>
    </row>
    <row r="14" spans="1:16" ht="28.5">
      <c r="A14" s="3" t="s">
        <v>19</v>
      </c>
      <c r="B14" s="8"/>
      <c r="C14" s="1" t="s">
        <v>738</v>
      </c>
      <c r="D14" s="2" t="s">
        <v>1422</v>
      </c>
      <c r="E14" s="2" t="s">
        <v>631</v>
      </c>
      <c r="F14" s="2"/>
      <c r="G14" s="2"/>
      <c r="H14" s="2"/>
      <c r="I14" s="36">
        <v>3.7999999999999999E-2</v>
      </c>
      <c r="J14" s="2"/>
      <c r="K14" s="2"/>
      <c r="L14" s="2"/>
      <c r="M14" s="3"/>
      <c r="N14" t="s">
        <v>1423</v>
      </c>
      <c r="O14" t="s">
        <v>1429</v>
      </c>
      <c r="P14" t="s">
        <v>1843</v>
      </c>
    </row>
    <row r="15" spans="1:16" ht="42.75">
      <c r="A15" s="3" t="s">
        <v>19</v>
      </c>
      <c r="B15" s="8"/>
      <c r="C15" s="1" t="s">
        <v>50</v>
      </c>
      <c r="D15" s="2" t="s">
        <v>1395</v>
      </c>
      <c r="E15" s="2" t="s">
        <v>560</v>
      </c>
      <c r="F15" s="2"/>
      <c r="G15" s="2"/>
      <c r="H15" s="2"/>
      <c r="I15" s="36">
        <v>3.6999999999999998E-2</v>
      </c>
      <c r="J15" s="2"/>
      <c r="K15" s="2"/>
      <c r="L15" s="2"/>
      <c r="M15" s="3"/>
      <c r="N15" t="s">
        <v>1383</v>
      </c>
      <c r="O15" t="s">
        <v>1387</v>
      </c>
      <c r="P15" t="s">
        <v>1829</v>
      </c>
    </row>
    <row r="16" spans="1:16" ht="28.5">
      <c r="A16" s="3" t="s">
        <v>19</v>
      </c>
      <c r="B16" s="8"/>
      <c r="C16" s="1" t="s">
        <v>58</v>
      </c>
      <c r="D16" s="2" t="s">
        <v>1838</v>
      </c>
      <c r="E16" s="2" t="s">
        <v>58</v>
      </c>
      <c r="F16" s="2"/>
      <c r="G16" s="2"/>
      <c r="H16" s="2"/>
      <c r="I16" s="36">
        <v>3.6999999999999998E-2</v>
      </c>
      <c r="J16" s="2"/>
      <c r="K16" s="2"/>
      <c r="L16" s="2"/>
      <c r="M16" s="3"/>
      <c r="N16" t="s">
        <v>1396</v>
      </c>
      <c r="O16" t="s">
        <v>1387</v>
      </c>
      <c r="P16" t="s">
        <v>1829</v>
      </c>
    </row>
    <row r="17" spans="1:16" ht="28.5">
      <c r="A17" s="3" t="s">
        <v>19</v>
      </c>
      <c r="B17" s="8"/>
      <c r="C17" s="1" t="s">
        <v>59</v>
      </c>
      <c r="D17" s="2" t="s">
        <v>1415</v>
      </c>
      <c r="E17" s="2" t="s">
        <v>59</v>
      </c>
      <c r="F17" s="2"/>
      <c r="G17" s="2"/>
      <c r="H17" s="2"/>
      <c r="I17" s="36">
        <v>3.6999999999999998E-2</v>
      </c>
      <c r="J17" s="2"/>
      <c r="K17" s="2"/>
      <c r="L17" s="2"/>
      <c r="M17" s="3"/>
      <c r="N17" t="s">
        <v>1397</v>
      </c>
      <c r="O17" t="s">
        <v>1387</v>
      </c>
      <c r="P17" t="s">
        <v>1839</v>
      </c>
    </row>
    <row r="18" spans="1:16" ht="28.5">
      <c r="A18" s="3" t="s">
        <v>19</v>
      </c>
      <c r="B18" s="8"/>
      <c r="C18" s="1" t="s">
        <v>61</v>
      </c>
      <c r="D18" s="2" t="s">
        <v>1398</v>
      </c>
      <c r="E18" s="2" t="s">
        <v>61</v>
      </c>
      <c r="F18" s="2"/>
      <c r="G18" s="2"/>
      <c r="H18" s="2"/>
      <c r="I18" s="36">
        <v>3.6999999999999998E-2</v>
      </c>
      <c r="J18" s="2"/>
      <c r="K18" s="2"/>
      <c r="L18" s="2"/>
      <c r="M18" s="3"/>
      <c r="N18" t="s">
        <v>1399</v>
      </c>
      <c r="O18" t="s">
        <v>1387</v>
      </c>
      <c r="P18" t="s">
        <v>1840</v>
      </c>
    </row>
    <row r="19" spans="1:16" ht="27" customHeight="1">
      <c r="A19" s="3" t="s">
        <v>19</v>
      </c>
      <c r="B19" s="8"/>
      <c r="C19" s="1" t="s">
        <v>68</v>
      </c>
      <c r="D19" s="2" t="s">
        <v>69</v>
      </c>
      <c r="E19" s="2" t="s">
        <v>590</v>
      </c>
      <c r="F19" s="2"/>
      <c r="G19" s="2"/>
      <c r="H19" s="2"/>
      <c r="I19" s="36">
        <v>3.6999999999999998E-2</v>
      </c>
      <c r="J19" s="2"/>
      <c r="K19" s="2"/>
      <c r="L19" s="2"/>
      <c r="M19" s="3"/>
      <c r="N19"/>
      <c r="P19" t="s">
        <v>1841</v>
      </c>
    </row>
    <row r="20" spans="1:16" ht="28.5">
      <c r="A20" s="3" t="s">
        <v>19</v>
      </c>
      <c r="B20" s="8"/>
      <c r="C20" s="1" t="s">
        <v>729</v>
      </c>
      <c r="D20" s="2" t="s">
        <v>1831</v>
      </c>
      <c r="E20" s="2" t="s">
        <v>631</v>
      </c>
      <c r="F20" s="2"/>
      <c r="G20" s="2"/>
      <c r="H20" s="2"/>
      <c r="I20" s="36">
        <v>3.5999999999999997E-2</v>
      </c>
      <c r="J20" s="2"/>
      <c r="K20" s="2"/>
      <c r="L20" s="2"/>
      <c r="M20" s="3"/>
      <c r="N20" t="s">
        <v>1832</v>
      </c>
      <c r="O20" t="s">
        <v>1833</v>
      </c>
      <c r="P20" t="s">
        <v>1829</v>
      </c>
    </row>
    <row r="21" spans="1:16" ht="42.75">
      <c r="A21" s="3" t="s">
        <v>19</v>
      </c>
      <c r="B21" s="8"/>
      <c r="C21" s="1" t="s">
        <v>13</v>
      </c>
      <c r="D21" s="2" t="s">
        <v>1436</v>
      </c>
      <c r="E21" s="2" t="s">
        <v>592</v>
      </c>
      <c r="F21" s="2"/>
      <c r="G21" s="2"/>
      <c r="H21" s="2"/>
      <c r="I21" s="36">
        <v>3.5999999999999997E-2</v>
      </c>
      <c r="J21" s="2"/>
      <c r="K21" s="2"/>
      <c r="L21" s="2"/>
      <c r="M21" s="3"/>
      <c r="N21" t="s">
        <v>1416</v>
      </c>
      <c r="O21" t="s">
        <v>1387</v>
      </c>
      <c r="P21" t="s">
        <v>1840</v>
      </c>
    </row>
    <row r="22" spans="1:16" ht="42.75">
      <c r="A22" s="3" t="s">
        <v>19</v>
      </c>
      <c r="B22" s="8"/>
      <c r="C22" s="1" t="s">
        <v>644</v>
      </c>
      <c r="D22" s="2" t="s">
        <v>1446</v>
      </c>
      <c r="E22" s="2" t="s">
        <v>631</v>
      </c>
      <c r="F22" s="2"/>
      <c r="G22" s="2"/>
      <c r="H22" s="2"/>
      <c r="I22" s="36">
        <v>3.5999999999999997E-2</v>
      </c>
      <c r="J22" s="2"/>
      <c r="K22" s="2"/>
      <c r="L22" s="2"/>
      <c r="M22" s="3"/>
      <c r="N22" t="s">
        <v>1447</v>
      </c>
      <c r="O22" t="s">
        <v>1387</v>
      </c>
      <c r="P22" t="s">
        <v>1846</v>
      </c>
    </row>
    <row r="23" spans="1:16" ht="28.5">
      <c r="A23" s="3" t="s">
        <v>19</v>
      </c>
      <c r="B23" s="8"/>
      <c r="C23" s="1" t="s">
        <v>645</v>
      </c>
      <c r="D23" s="2" t="s">
        <v>1448</v>
      </c>
      <c r="E23" s="2" t="s">
        <v>631</v>
      </c>
      <c r="F23" s="2"/>
      <c r="G23" s="2"/>
      <c r="H23" s="2"/>
      <c r="I23" s="36">
        <v>3.5999999999999997E-2</v>
      </c>
      <c r="J23" s="2"/>
      <c r="K23" s="2"/>
      <c r="L23" s="2"/>
      <c r="M23" s="3"/>
      <c r="N23" t="s">
        <v>1449</v>
      </c>
      <c r="O23" t="s">
        <v>1387</v>
      </c>
      <c r="P23" t="s">
        <v>1849</v>
      </c>
    </row>
    <row r="24" spans="1:16">
      <c r="A24" s="3" t="s">
        <v>19</v>
      </c>
      <c r="B24" s="8"/>
      <c r="C24" s="1" t="s">
        <v>64</v>
      </c>
      <c r="D24" s="2" t="s">
        <v>579</v>
      </c>
      <c r="E24" s="1" t="s">
        <v>64</v>
      </c>
      <c r="F24" s="1"/>
      <c r="G24" s="1"/>
      <c r="H24" s="1"/>
      <c r="I24" s="36">
        <v>3.5000000000000003E-2</v>
      </c>
      <c r="J24" s="1"/>
      <c r="K24" s="2"/>
      <c r="L24" s="2"/>
      <c r="M24" s="3"/>
      <c r="N24" t="s">
        <v>1400</v>
      </c>
      <c r="O24" t="s">
        <v>1387</v>
      </c>
      <c r="P24" t="s">
        <v>1829</v>
      </c>
    </row>
    <row r="25" spans="1:16" ht="28.5">
      <c r="A25" s="3" t="s">
        <v>19</v>
      </c>
      <c r="B25" s="8"/>
      <c r="C25" s="1" t="s">
        <v>739</v>
      </c>
      <c r="D25" s="2" t="s">
        <v>1419</v>
      </c>
      <c r="E25" s="2" t="s">
        <v>631</v>
      </c>
      <c r="F25" s="2"/>
      <c r="G25" s="2"/>
      <c r="H25" s="2"/>
      <c r="I25" s="36">
        <v>3.5000000000000003E-2</v>
      </c>
      <c r="J25" s="2"/>
      <c r="K25" s="2"/>
      <c r="L25" s="2"/>
      <c r="M25" s="3"/>
      <c r="N25" t="s">
        <v>1421</v>
      </c>
      <c r="O25" t="s">
        <v>1387</v>
      </c>
      <c r="P25" t="s">
        <v>1844</v>
      </c>
    </row>
    <row r="26" spans="1:16">
      <c r="A26" s="3" t="s">
        <v>19</v>
      </c>
      <c r="B26" s="8"/>
      <c r="C26" s="1" t="s">
        <v>627</v>
      </c>
      <c r="D26" s="6" t="s">
        <v>630</v>
      </c>
      <c r="E26" s="2" t="s">
        <v>627</v>
      </c>
      <c r="F26" s="6" t="s">
        <v>655</v>
      </c>
      <c r="G26" s="2"/>
      <c r="H26" s="2"/>
      <c r="I26" s="36">
        <v>3.5000000000000003E-2</v>
      </c>
      <c r="J26" s="2"/>
      <c r="K26" s="2"/>
      <c r="L26" s="2"/>
      <c r="M26" s="3"/>
      <c r="N26" t="s">
        <v>1459</v>
      </c>
      <c r="O26" t="s">
        <v>1460</v>
      </c>
      <c r="P26" t="s">
        <v>1847</v>
      </c>
    </row>
    <row r="27" spans="1:16">
      <c r="A27" s="3" t="s">
        <v>19</v>
      </c>
      <c r="B27" s="8"/>
      <c r="C27" s="1" t="s">
        <v>47</v>
      </c>
      <c r="D27" s="6" t="s">
        <v>1374</v>
      </c>
      <c r="E27" s="2" t="s">
        <v>47</v>
      </c>
      <c r="F27" s="6" t="s">
        <v>655</v>
      </c>
      <c r="G27" s="2"/>
      <c r="H27" s="2"/>
      <c r="I27" s="36">
        <v>3.4000000000000002E-2</v>
      </c>
      <c r="J27" s="2"/>
      <c r="K27" s="2"/>
      <c r="L27" s="2"/>
      <c r="M27" s="3"/>
      <c r="N27" t="s">
        <v>2290</v>
      </c>
      <c r="O27" t="s">
        <v>1372</v>
      </c>
      <c r="P27" t="s">
        <v>1829</v>
      </c>
    </row>
    <row r="28" spans="1:16">
      <c r="A28" s="3" t="s">
        <v>19</v>
      </c>
      <c r="B28" s="8"/>
      <c r="C28" s="1" t="s">
        <v>36</v>
      </c>
      <c r="D28" s="2" t="s">
        <v>37</v>
      </c>
      <c r="E28" s="2" t="s">
        <v>30</v>
      </c>
      <c r="F28" s="6" t="s">
        <v>655</v>
      </c>
      <c r="G28" s="6" t="s">
        <v>1347</v>
      </c>
      <c r="H28" s="6"/>
      <c r="I28" s="36">
        <v>3.3000000000000002E-2</v>
      </c>
      <c r="J28" s="2"/>
      <c r="K28" s="2"/>
      <c r="L28" s="2"/>
      <c r="M28" s="3"/>
      <c r="N28"/>
      <c r="P28" t="s">
        <v>1835</v>
      </c>
    </row>
    <row r="29" spans="1:16" ht="42.75">
      <c r="A29" s="3" t="s">
        <v>19</v>
      </c>
      <c r="B29" s="8"/>
      <c r="C29" s="1" t="s">
        <v>12</v>
      </c>
      <c r="D29" s="2" t="s">
        <v>78</v>
      </c>
      <c r="E29" s="2" t="s">
        <v>12</v>
      </c>
      <c r="F29" s="6" t="s">
        <v>655</v>
      </c>
      <c r="G29" s="2"/>
      <c r="H29" s="2"/>
      <c r="I29" s="36">
        <v>3.3000000000000002E-2</v>
      </c>
      <c r="J29" s="2"/>
      <c r="K29" s="2"/>
      <c r="L29" s="2"/>
      <c r="M29" s="3"/>
      <c r="N29"/>
      <c r="P29" t="s">
        <v>1841</v>
      </c>
    </row>
    <row r="30" spans="1:16">
      <c r="A30" s="3" t="s">
        <v>19</v>
      </c>
      <c r="B30" s="8"/>
      <c r="C30" s="1" t="s">
        <v>71</v>
      </c>
      <c r="D30" s="2" t="s">
        <v>1424</v>
      </c>
      <c r="E30" s="2" t="s">
        <v>594</v>
      </c>
      <c r="F30" s="6" t="s">
        <v>655</v>
      </c>
      <c r="G30" s="2"/>
      <c r="H30" s="2"/>
      <c r="I30" s="36">
        <v>3.2000000000000001E-2</v>
      </c>
      <c r="J30" s="2"/>
      <c r="K30" s="2"/>
      <c r="L30" s="2"/>
      <c r="M30" s="3"/>
      <c r="N30"/>
      <c r="P30" t="s">
        <v>1830</v>
      </c>
    </row>
    <row r="31" spans="1:16" ht="57">
      <c r="A31" s="3" t="s">
        <v>19</v>
      </c>
      <c r="B31" s="8"/>
      <c r="C31" s="1" t="s">
        <v>1859</v>
      </c>
      <c r="D31" s="2" t="s">
        <v>1439</v>
      </c>
      <c r="E31" s="2" t="s">
        <v>631</v>
      </c>
      <c r="F31" s="2"/>
      <c r="G31" s="2"/>
      <c r="H31" s="2"/>
      <c r="I31" s="36">
        <v>3.2000000000000001E-2</v>
      </c>
      <c r="J31" s="2"/>
      <c r="K31" s="2"/>
      <c r="L31" s="2"/>
      <c r="M31" s="3"/>
      <c r="N31" t="s">
        <v>1438</v>
      </c>
      <c r="O31" t="s">
        <v>1387</v>
      </c>
      <c r="P31" t="s">
        <v>1846</v>
      </c>
    </row>
    <row r="32" spans="1:16" ht="57">
      <c r="A32" s="3" t="s">
        <v>19</v>
      </c>
      <c r="B32" s="8"/>
      <c r="C32" s="1" t="s">
        <v>647</v>
      </c>
      <c r="D32" s="2" t="s">
        <v>1442</v>
      </c>
      <c r="E32" s="2" t="s">
        <v>631</v>
      </c>
      <c r="F32" s="2"/>
      <c r="G32" s="2"/>
      <c r="H32" s="2"/>
      <c r="I32" s="36">
        <v>3.2000000000000001E-2</v>
      </c>
      <c r="J32" s="2"/>
      <c r="K32" s="2"/>
      <c r="L32" s="2"/>
      <c r="M32" s="3"/>
      <c r="N32" t="s">
        <v>1443</v>
      </c>
      <c r="O32" t="s">
        <v>1387</v>
      </c>
      <c r="P32" t="s">
        <v>1846</v>
      </c>
    </row>
    <row r="33" spans="1:16" ht="57">
      <c r="A33" s="3" t="s">
        <v>19</v>
      </c>
      <c r="B33" s="8"/>
      <c r="C33" s="1" t="s">
        <v>740</v>
      </c>
      <c r="D33" s="2" t="s">
        <v>1445</v>
      </c>
      <c r="E33" s="2" t="s">
        <v>631</v>
      </c>
      <c r="F33" s="2"/>
      <c r="G33" s="2"/>
      <c r="H33" s="2"/>
      <c r="I33" s="36">
        <v>3.1E-2</v>
      </c>
      <c r="J33" s="2"/>
      <c r="K33" s="2"/>
      <c r="L33" s="2"/>
      <c r="M33" s="3"/>
      <c r="N33" t="s">
        <v>1444</v>
      </c>
      <c r="O33" t="s">
        <v>1387</v>
      </c>
      <c r="P33" t="s">
        <v>1846</v>
      </c>
    </row>
    <row r="34" spans="1:16">
      <c r="A34" s="3" t="s">
        <v>19</v>
      </c>
      <c r="B34" s="8"/>
      <c r="C34" s="1" t="s">
        <v>34</v>
      </c>
      <c r="D34" s="2" t="s">
        <v>35</v>
      </c>
      <c r="E34" s="2" t="s">
        <v>29</v>
      </c>
      <c r="F34" s="2"/>
      <c r="G34" s="6" t="s">
        <v>1347</v>
      </c>
      <c r="H34" s="6"/>
      <c r="I34" s="36">
        <v>2.9000000000000001E-2</v>
      </c>
      <c r="J34" s="2"/>
      <c r="K34" s="2"/>
      <c r="L34" s="2"/>
      <c r="M34" s="3"/>
      <c r="N34"/>
      <c r="P34" t="s">
        <v>1835</v>
      </c>
    </row>
    <row r="35" spans="1:16">
      <c r="A35" s="3" t="s">
        <v>19</v>
      </c>
      <c r="B35" s="8"/>
      <c r="C35" s="1" t="s">
        <v>1362</v>
      </c>
      <c r="D35" s="2" t="s">
        <v>42</v>
      </c>
      <c r="E35" s="2" t="s">
        <v>532</v>
      </c>
      <c r="F35" s="2"/>
      <c r="G35" s="2"/>
      <c r="H35" s="2"/>
      <c r="I35" s="36">
        <v>2.9000000000000001E-2</v>
      </c>
      <c r="J35" s="2"/>
      <c r="K35" s="2"/>
      <c r="L35" s="2"/>
      <c r="M35" s="3"/>
      <c r="N35" t="s">
        <v>1363</v>
      </c>
      <c r="P35" t="s">
        <v>1842</v>
      </c>
    </row>
    <row r="36" spans="1:16" ht="57">
      <c r="A36" s="3" t="s">
        <v>19</v>
      </c>
      <c r="B36" s="8"/>
      <c r="C36" s="1" t="s">
        <v>643</v>
      </c>
      <c r="D36" s="2" t="s">
        <v>1440</v>
      </c>
      <c r="E36" s="2" t="s">
        <v>631</v>
      </c>
      <c r="F36" s="2"/>
      <c r="G36" s="2"/>
      <c r="H36" s="2"/>
      <c r="I36" s="36">
        <v>2.9000000000000001E-2</v>
      </c>
      <c r="J36" s="2"/>
      <c r="K36" s="2"/>
      <c r="L36" s="2"/>
      <c r="M36" s="3"/>
      <c r="N36" t="s">
        <v>1441</v>
      </c>
      <c r="O36" t="s">
        <v>1387</v>
      </c>
      <c r="P36" t="s">
        <v>1846</v>
      </c>
    </row>
    <row r="37" spans="1:16">
      <c r="A37" s="3" t="s">
        <v>19</v>
      </c>
      <c r="B37" s="8"/>
      <c r="C37" s="1" t="s">
        <v>48</v>
      </c>
      <c r="D37" s="2" t="s">
        <v>1376</v>
      </c>
      <c r="E37" s="2" t="s">
        <v>547</v>
      </c>
      <c r="F37" s="2"/>
      <c r="G37" s="2"/>
      <c r="H37" s="2"/>
      <c r="I37" s="36">
        <v>2.7E-2</v>
      </c>
      <c r="J37" s="2"/>
      <c r="K37" s="2"/>
      <c r="L37" s="2"/>
      <c r="M37" s="3"/>
      <c r="N37" t="s">
        <v>1375</v>
      </c>
      <c r="O37" t="s">
        <v>1366</v>
      </c>
      <c r="P37" t="s">
        <v>1829</v>
      </c>
    </row>
    <row r="38" spans="1:16">
      <c r="A38" s="3" t="s">
        <v>19</v>
      </c>
      <c r="B38" s="8"/>
      <c r="C38" s="1" t="s">
        <v>585</v>
      </c>
      <c r="D38" s="2" t="s">
        <v>1405</v>
      </c>
      <c r="E38" s="1" t="s">
        <v>585</v>
      </c>
      <c r="F38" s="1"/>
      <c r="G38" s="1"/>
      <c r="H38" s="1"/>
      <c r="I38" s="36">
        <v>2.5999999999999999E-2</v>
      </c>
      <c r="J38" s="1"/>
      <c r="K38" s="2"/>
      <c r="L38" s="2"/>
      <c r="M38" s="3"/>
      <c r="N38" t="s">
        <v>1400</v>
      </c>
      <c r="O38" t="s">
        <v>1387</v>
      </c>
      <c r="P38" t="s">
        <v>1830</v>
      </c>
    </row>
    <row r="39" spans="1:16">
      <c r="A39" s="3" t="s">
        <v>19</v>
      </c>
      <c r="B39" s="8"/>
      <c r="C39" s="1" t="s">
        <v>76</v>
      </c>
      <c r="D39" s="2" t="s">
        <v>1414</v>
      </c>
      <c r="E39" s="1" t="s">
        <v>76</v>
      </c>
      <c r="F39" s="1"/>
      <c r="G39" s="1"/>
      <c r="H39" s="1"/>
      <c r="I39" s="36">
        <v>2.5999999999999999E-2</v>
      </c>
      <c r="J39" s="1"/>
      <c r="K39" s="2"/>
      <c r="L39" s="2"/>
      <c r="M39" s="3"/>
      <c r="N39" t="s">
        <v>1375</v>
      </c>
      <c r="O39" t="s">
        <v>1388</v>
      </c>
      <c r="P39" t="s">
        <v>1830</v>
      </c>
    </row>
    <row r="40" spans="1:16">
      <c r="A40" s="3" t="s">
        <v>19</v>
      </c>
      <c r="B40" s="8"/>
      <c r="C40" s="1" t="s">
        <v>44</v>
      </c>
      <c r="D40" s="6" t="s">
        <v>1368</v>
      </c>
      <c r="E40" s="2" t="s">
        <v>539</v>
      </c>
      <c r="F40" s="2"/>
      <c r="G40" s="2"/>
      <c r="H40" s="2"/>
      <c r="I40" s="36">
        <v>2.4E-2</v>
      </c>
      <c r="J40" s="2"/>
      <c r="K40" s="2"/>
      <c r="L40" s="2"/>
      <c r="M40" s="3"/>
      <c r="N40" t="s">
        <v>1367</v>
      </c>
      <c r="O40" t="s">
        <v>1366</v>
      </c>
      <c r="P40" t="s">
        <v>1828</v>
      </c>
    </row>
    <row r="41" spans="1:16">
      <c r="A41" s="3" t="s">
        <v>19</v>
      </c>
      <c r="B41" s="8"/>
      <c r="C41" s="1" t="s">
        <v>74</v>
      </c>
      <c r="D41" s="2" t="s">
        <v>1413</v>
      </c>
      <c r="E41" s="1" t="s">
        <v>74</v>
      </c>
      <c r="F41" s="1"/>
      <c r="G41" s="1"/>
      <c r="H41" s="1"/>
      <c r="I41" s="36">
        <v>2.3E-2</v>
      </c>
      <c r="J41" s="1"/>
      <c r="K41" s="2"/>
      <c r="L41" s="2"/>
      <c r="M41" s="3"/>
      <c r="N41" t="s">
        <v>1409</v>
      </c>
      <c r="O41" t="s">
        <v>1388</v>
      </c>
      <c r="P41" t="s">
        <v>1830</v>
      </c>
    </row>
    <row r="42" spans="1:16">
      <c r="A42" s="3" t="s">
        <v>19</v>
      </c>
      <c r="B42" s="8"/>
      <c r="C42" s="1" t="s">
        <v>79</v>
      </c>
      <c r="D42" s="2" t="s">
        <v>80</v>
      </c>
      <c r="E42" s="2" t="s">
        <v>79</v>
      </c>
      <c r="F42" s="6" t="s">
        <v>655</v>
      </c>
      <c r="G42" s="2"/>
      <c r="H42" s="2"/>
      <c r="I42" s="36">
        <v>2.4E-2</v>
      </c>
      <c r="J42" s="2"/>
      <c r="K42" s="2"/>
      <c r="L42" s="2"/>
      <c r="M42" s="3"/>
      <c r="N42"/>
      <c r="P42" t="s">
        <v>1841</v>
      </c>
    </row>
    <row r="43" spans="1:16">
      <c r="A43" s="3" t="s">
        <v>19</v>
      </c>
      <c r="B43" s="8"/>
      <c r="C43" s="1" t="s">
        <v>642</v>
      </c>
      <c r="D43" s="2" t="s">
        <v>1466</v>
      </c>
      <c r="E43" s="2" t="s">
        <v>631</v>
      </c>
      <c r="F43" s="2"/>
      <c r="G43" s="6" t="s">
        <v>1349</v>
      </c>
      <c r="H43" s="6"/>
      <c r="I43" s="36">
        <v>2.1999999999999999E-2</v>
      </c>
      <c r="J43" s="2"/>
      <c r="K43" s="2"/>
      <c r="L43" s="2"/>
      <c r="M43" s="3"/>
      <c r="N43" t="s">
        <v>1467</v>
      </c>
      <c r="P43" t="s">
        <v>1829</v>
      </c>
    </row>
    <row r="44" spans="1:16">
      <c r="A44" s="3" t="s">
        <v>19</v>
      </c>
      <c r="B44" s="8"/>
      <c r="C44" s="1" t="s">
        <v>602</v>
      </c>
      <c r="D44" s="2" t="s">
        <v>1426</v>
      </c>
      <c r="E44" s="1" t="s">
        <v>602</v>
      </c>
      <c r="F44" s="1"/>
      <c r="G44" s="1"/>
      <c r="H44" s="1"/>
      <c r="I44" s="36">
        <v>2.3E-2</v>
      </c>
      <c r="J44" s="1"/>
      <c r="K44" s="2"/>
      <c r="L44" s="2"/>
      <c r="M44" s="3"/>
      <c r="N44" t="s">
        <v>1408</v>
      </c>
      <c r="O44" t="s">
        <v>1387</v>
      </c>
      <c r="P44" t="s">
        <v>1849</v>
      </c>
    </row>
    <row r="45" spans="1:16" ht="28.5">
      <c r="A45" s="3" t="s">
        <v>19</v>
      </c>
      <c r="B45" s="8"/>
      <c r="C45" s="1" t="s">
        <v>615</v>
      </c>
      <c r="D45" s="2" t="s">
        <v>1437</v>
      </c>
      <c r="E45" s="2" t="s">
        <v>615</v>
      </c>
      <c r="F45" s="2"/>
      <c r="G45" s="2"/>
      <c r="H45" s="2"/>
      <c r="I45" s="36">
        <v>0.02</v>
      </c>
      <c r="J45" s="2"/>
      <c r="K45" s="2"/>
      <c r="L45" s="2"/>
      <c r="M45" s="3"/>
      <c r="N45" t="s">
        <v>1435</v>
      </c>
      <c r="O45" t="s">
        <v>1388</v>
      </c>
      <c r="P45" t="s">
        <v>1845</v>
      </c>
    </row>
    <row r="46" spans="1:16">
      <c r="A46" s="3" t="s">
        <v>19</v>
      </c>
      <c r="B46" s="8"/>
      <c r="C46" s="1" t="s">
        <v>600</v>
      </c>
      <c r="D46" s="2" t="s">
        <v>1418</v>
      </c>
      <c r="E46" s="1" t="s">
        <v>600</v>
      </c>
      <c r="F46" s="1"/>
      <c r="G46" s="1"/>
      <c r="H46" s="1"/>
      <c r="I46" s="36">
        <v>2.1000000000000001E-2</v>
      </c>
      <c r="J46" s="1"/>
      <c r="K46" s="2"/>
      <c r="L46" s="2"/>
      <c r="M46" s="3"/>
      <c r="N46" t="s">
        <v>1369</v>
      </c>
      <c r="O46" t="s">
        <v>1387</v>
      </c>
      <c r="P46" t="s">
        <v>1849</v>
      </c>
    </row>
    <row r="47" spans="1:16">
      <c r="A47" s="3" t="s">
        <v>19</v>
      </c>
      <c r="B47" s="8"/>
      <c r="C47" s="1" t="s">
        <v>603</v>
      </c>
      <c r="D47" s="2" t="s">
        <v>1428</v>
      </c>
      <c r="E47" s="1" t="s">
        <v>603</v>
      </c>
      <c r="F47" s="1"/>
      <c r="G47" s="1"/>
      <c r="H47" s="1"/>
      <c r="I47" s="36">
        <v>2.1000000000000001E-2</v>
      </c>
      <c r="J47" s="1"/>
      <c r="K47" s="2"/>
      <c r="L47" s="2"/>
      <c r="M47" s="3"/>
      <c r="N47" t="s">
        <v>1408</v>
      </c>
      <c r="O47" t="s">
        <v>1387</v>
      </c>
      <c r="P47" t="s">
        <v>1849</v>
      </c>
    </row>
    <row r="48" spans="1:16">
      <c r="A48" s="3" t="s">
        <v>19</v>
      </c>
      <c r="B48" s="8"/>
      <c r="C48" s="1" t="s">
        <v>601</v>
      </c>
      <c r="D48" s="2" t="s">
        <v>1431</v>
      </c>
      <c r="E48" s="1" t="s">
        <v>601</v>
      </c>
      <c r="F48" s="1"/>
      <c r="G48" s="1"/>
      <c r="H48" s="1"/>
      <c r="I48" s="36">
        <v>1.4999999999999999E-2</v>
      </c>
      <c r="J48" s="1"/>
      <c r="K48" s="2"/>
      <c r="L48" s="2"/>
      <c r="M48" s="3"/>
      <c r="N48" t="s">
        <v>1408</v>
      </c>
      <c r="O48" t="s">
        <v>1387</v>
      </c>
      <c r="P48" t="s">
        <v>1849</v>
      </c>
    </row>
    <row r="49" spans="1:16">
      <c r="A49" s="3" t="s">
        <v>19</v>
      </c>
      <c r="B49" s="8"/>
      <c r="C49" s="1" t="s">
        <v>38</v>
      </c>
      <c r="D49" s="2" t="s">
        <v>1377</v>
      </c>
      <c r="E49" s="2" t="s">
        <v>31</v>
      </c>
      <c r="F49" s="2"/>
      <c r="G49" s="2"/>
      <c r="H49" s="2"/>
      <c r="I49" s="36">
        <v>1.9E-2</v>
      </c>
      <c r="J49" s="2"/>
      <c r="K49" s="2"/>
      <c r="L49" s="2"/>
      <c r="M49" s="3"/>
      <c r="N49" t="s">
        <v>1352</v>
      </c>
      <c r="O49" t="s">
        <v>1353</v>
      </c>
      <c r="P49" t="s">
        <v>1826</v>
      </c>
    </row>
    <row r="50" spans="1:16" ht="25.5">
      <c r="A50" s="3" t="s">
        <v>19</v>
      </c>
      <c r="B50" s="8"/>
      <c r="C50" s="1" t="s">
        <v>45</v>
      </c>
      <c r="D50" s="6" t="s">
        <v>1371</v>
      </c>
      <c r="E50" s="2" t="s">
        <v>542</v>
      </c>
      <c r="F50" s="2"/>
      <c r="G50" s="2"/>
      <c r="H50" s="2"/>
      <c r="I50" s="36">
        <v>1.9E-2</v>
      </c>
      <c r="J50" s="2"/>
      <c r="K50" s="2"/>
      <c r="L50" s="2"/>
      <c r="M50" s="3"/>
      <c r="N50" t="s">
        <v>1370</v>
      </c>
      <c r="O50" t="s">
        <v>1353</v>
      </c>
      <c r="P50" t="s">
        <v>1830</v>
      </c>
    </row>
    <row r="51" spans="1:16" ht="28.5">
      <c r="A51" s="3" t="s">
        <v>19</v>
      </c>
      <c r="B51" s="8"/>
      <c r="C51" s="1" t="s">
        <v>591</v>
      </c>
      <c r="D51" s="2" t="s">
        <v>1425</v>
      </c>
      <c r="E51" s="2" t="s">
        <v>591</v>
      </c>
      <c r="F51" s="2"/>
      <c r="G51" s="2"/>
      <c r="H51" s="2"/>
      <c r="I51" s="36">
        <v>1.9E-2</v>
      </c>
      <c r="J51" s="2"/>
      <c r="K51" s="2"/>
      <c r="L51" s="2"/>
      <c r="M51" s="3"/>
      <c r="N51" t="s">
        <v>1407</v>
      </c>
      <c r="O51" t="s">
        <v>1411</v>
      </c>
      <c r="P51" t="s">
        <v>1830</v>
      </c>
    </row>
    <row r="52" spans="1:16" ht="28.5">
      <c r="A52" s="3" t="s">
        <v>19</v>
      </c>
      <c r="B52" s="8"/>
      <c r="C52" s="1" t="s">
        <v>49</v>
      </c>
      <c r="D52" s="2" t="s">
        <v>1381</v>
      </c>
      <c r="E52" s="2" t="s">
        <v>49</v>
      </c>
      <c r="F52" s="2"/>
      <c r="G52" s="2"/>
      <c r="H52" s="2"/>
      <c r="I52" s="36">
        <v>1.7999999999999999E-2</v>
      </c>
      <c r="J52" s="2"/>
      <c r="K52" s="2"/>
      <c r="L52" s="2"/>
      <c r="M52" s="3"/>
      <c r="N52" t="s">
        <v>1382</v>
      </c>
      <c r="O52" t="s">
        <v>1388</v>
      </c>
      <c r="P52" t="s">
        <v>1834</v>
      </c>
    </row>
    <row r="53" spans="1:16">
      <c r="A53" s="3" t="s">
        <v>19</v>
      </c>
      <c r="B53" s="8"/>
      <c r="C53" s="10" t="s">
        <v>70</v>
      </c>
      <c r="D53" s="2" t="s">
        <v>1406</v>
      </c>
      <c r="E53" s="1" t="s">
        <v>70</v>
      </c>
      <c r="F53" s="1"/>
      <c r="G53" s="1"/>
      <c r="H53" s="1"/>
      <c r="I53" s="36">
        <v>1.6E-2</v>
      </c>
      <c r="J53" s="1"/>
      <c r="K53" s="2"/>
      <c r="L53" s="2"/>
      <c r="M53" s="3"/>
      <c r="N53" t="s">
        <v>1400</v>
      </c>
      <c r="O53" t="s">
        <v>1388</v>
      </c>
      <c r="P53" t="s">
        <v>1830</v>
      </c>
    </row>
    <row r="54" spans="1:16">
      <c r="A54" s="3" t="s">
        <v>19</v>
      </c>
      <c r="B54" s="8"/>
      <c r="C54" s="1" t="s">
        <v>2260</v>
      </c>
      <c r="D54" s="2" t="s">
        <v>2261</v>
      </c>
      <c r="E54" s="1" t="s">
        <v>2260</v>
      </c>
      <c r="F54" s="1"/>
      <c r="G54" s="1"/>
      <c r="H54" s="1"/>
      <c r="I54" s="36">
        <v>1.6E-2</v>
      </c>
      <c r="J54" s="1"/>
      <c r="K54" s="2"/>
      <c r="L54" s="2"/>
      <c r="M54" s="3"/>
      <c r="N54" t="s">
        <v>1370</v>
      </c>
      <c r="O54" t="s">
        <v>1353</v>
      </c>
      <c r="P54" t="s">
        <v>1826</v>
      </c>
    </row>
    <row r="55" spans="1:16">
      <c r="A55" s="3" t="s">
        <v>19</v>
      </c>
      <c r="B55" s="8"/>
      <c r="C55" s="1" t="s">
        <v>2304</v>
      </c>
      <c r="D55" s="6" t="s">
        <v>1354</v>
      </c>
      <c r="E55" s="2" t="s">
        <v>532</v>
      </c>
      <c r="F55" s="2"/>
      <c r="G55" s="2"/>
      <c r="H55" s="2"/>
      <c r="I55" s="36">
        <v>1.4E-2</v>
      </c>
      <c r="J55" s="2"/>
      <c r="K55" s="2"/>
      <c r="L55" s="2"/>
      <c r="M55" s="3"/>
      <c r="N55" t="s">
        <v>1355</v>
      </c>
      <c r="O55" t="s">
        <v>1356</v>
      </c>
      <c r="P55" t="s">
        <v>1826</v>
      </c>
    </row>
    <row r="56" spans="1:16" ht="42.75">
      <c r="A56" s="3" t="s">
        <v>19</v>
      </c>
      <c r="B56" s="8"/>
      <c r="C56" s="1" t="s">
        <v>515</v>
      </c>
      <c r="D56" s="2" t="s">
        <v>1456</v>
      </c>
      <c r="E56" s="2" t="s">
        <v>515</v>
      </c>
      <c r="F56" s="6" t="s">
        <v>655</v>
      </c>
      <c r="G56" s="2"/>
      <c r="H56" s="2"/>
      <c r="I56" s="36">
        <v>1.6E-2</v>
      </c>
      <c r="J56" s="2"/>
      <c r="K56" s="2"/>
      <c r="L56" s="2"/>
      <c r="M56" s="3"/>
      <c r="N56" t="s">
        <v>1452</v>
      </c>
      <c r="O56" t="s">
        <v>1387</v>
      </c>
      <c r="P56" t="s">
        <v>1847</v>
      </c>
    </row>
    <row r="57" spans="1:16">
      <c r="A57" s="3" t="s">
        <v>19</v>
      </c>
      <c r="B57" s="8"/>
      <c r="C57" s="1" t="s">
        <v>521</v>
      </c>
      <c r="D57" s="2" t="s">
        <v>1463</v>
      </c>
      <c r="E57" s="1" t="s">
        <v>521</v>
      </c>
      <c r="F57" s="6" t="s">
        <v>655</v>
      </c>
      <c r="G57" s="1"/>
      <c r="H57" s="1"/>
      <c r="I57" s="36">
        <v>2.8000000000000001E-2</v>
      </c>
      <c r="J57" s="1"/>
      <c r="K57" s="2"/>
      <c r="L57" s="2"/>
      <c r="M57" s="3"/>
      <c r="N57" t="s">
        <v>1464</v>
      </c>
      <c r="O57" t="s">
        <v>1465</v>
      </c>
      <c r="P57" t="s">
        <v>1847</v>
      </c>
    </row>
    <row r="58" spans="1:16" ht="42.75">
      <c r="A58" s="3" t="s">
        <v>19</v>
      </c>
      <c r="B58" s="8"/>
      <c r="C58" s="1" t="s">
        <v>10</v>
      </c>
      <c r="D58" s="2" t="s">
        <v>1385</v>
      </c>
      <c r="E58" s="2" t="s">
        <v>561</v>
      </c>
      <c r="F58" s="2"/>
      <c r="G58" s="2"/>
      <c r="H58" s="2"/>
      <c r="I58" s="36">
        <v>1.4E-2</v>
      </c>
      <c r="J58" s="2"/>
      <c r="K58" s="2"/>
      <c r="L58" s="2"/>
      <c r="M58" s="3"/>
      <c r="N58" t="s">
        <v>1384</v>
      </c>
      <c r="O58" t="s">
        <v>1386</v>
      </c>
      <c r="P58" t="s">
        <v>1829</v>
      </c>
    </row>
    <row r="59" spans="1:16">
      <c r="A59" s="3" t="s">
        <v>19</v>
      </c>
      <c r="B59" s="8"/>
      <c r="C59" s="1" t="s">
        <v>528</v>
      </c>
      <c r="D59" s="2" t="s">
        <v>529</v>
      </c>
      <c r="E59" s="1" t="s">
        <v>528</v>
      </c>
      <c r="F59" s="1"/>
      <c r="G59" s="1"/>
      <c r="H59" s="1"/>
      <c r="I59" s="36">
        <v>1.4E-2</v>
      </c>
      <c r="J59" s="1"/>
      <c r="K59" s="2"/>
      <c r="L59" s="2"/>
      <c r="M59" s="3"/>
      <c r="N59"/>
      <c r="O59" t="s">
        <v>1837</v>
      </c>
      <c r="P59" t="s">
        <v>1835</v>
      </c>
    </row>
    <row r="60" spans="1:16" ht="25.5">
      <c r="A60" s="3" t="s">
        <v>19</v>
      </c>
      <c r="B60" s="8"/>
      <c r="C60" s="1" t="s">
        <v>33</v>
      </c>
      <c r="D60" s="6" t="s">
        <v>2291</v>
      </c>
      <c r="E60" s="2" t="s">
        <v>549</v>
      </c>
      <c r="F60" s="2"/>
      <c r="G60" s="2"/>
      <c r="H60" s="2"/>
      <c r="I60" s="36">
        <v>1.4E-2</v>
      </c>
      <c r="J60" s="2"/>
      <c r="K60" s="2"/>
      <c r="L60" s="2"/>
      <c r="M60" s="3"/>
      <c r="N60" t="s">
        <v>1375</v>
      </c>
      <c r="O60" t="s">
        <v>2293</v>
      </c>
      <c r="P60" t="s">
        <v>2292</v>
      </c>
    </row>
    <row r="61" spans="1:16">
      <c r="A61" s="3" t="s">
        <v>19</v>
      </c>
      <c r="B61" s="8"/>
      <c r="C61" s="1" t="s">
        <v>1360</v>
      </c>
      <c r="D61" s="2" t="s">
        <v>41</v>
      </c>
      <c r="E61" s="2" t="s">
        <v>532</v>
      </c>
      <c r="F61" s="2"/>
      <c r="G61" s="2"/>
      <c r="H61" s="2"/>
      <c r="I61" s="36">
        <v>1.2999999999999999E-2</v>
      </c>
      <c r="J61" s="2"/>
      <c r="K61" s="2"/>
      <c r="L61" s="2"/>
      <c r="M61" s="3"/>
      <c r="N61" t="s">
        <v>1361</v>
      </c>
      <c r="P61" t="s">
        <v>1826</v>
      </c>
    </row>
    <row r="62" spans="1:16">
      <c r="A62" s="3" t="s">
        <v>19</v>
      </c>
      <c r="B62" s="8"/>
      <c r="C62" s="1" t="s">
        <v>95</v>
      </c>
      <c r="D62" s="2" t="s">
        <v>96</v>
      </c>
      <c r="E62" s="2" t="s">
        <v>617</v>
      </c>
      <c r="F62" s="2"/>
      <c r="G62" s="2"/>
      <c r="H62" s="2"/>
      <c r="I62" s="36">
        <v>1.0999999999999999E-2</v>
      </c>
      <c r="J62" s="2"/>
      <c r="K62" s="2"/>
      <c r="L62" s="2"/>
      <c r="M62" s="3"/>
      <c r="N62"/>
      <c r="P62" t="s">
        <v>1830</v>
      </c>
    </row>
    <row r="63" spans="1:16">
      <c r="A63" s="3" t="s">
        <v>19</v>
      </c>
      <c r="B63" s="8"/>
      <c r="C63" s="1" t="s">
        <v>519</v>
      </c>
      <c r="D63" s="2" t="s">
        <v>1462</v>
      </c>
      <c r="E63" s="1" t="s">
        <v>519</v>
      </c>
      <c r="F63" s="6" t="s">
        <v>655</v>
      </c>
      <c r="G63" s="1"/>
      <c r="H63" s="1"/>
      <c r="I63" s="36">
        <v>1.4E-2</v>
      </c>
      <c r="J63" s="1"/>
      <c r="K63" s="2"/>
      <c r="L63" s="2"/>
      <c r="M63" s="3"/>
      <c r="N63" t="s">
        <v>1461</v>
      </c>
      <c r="O63" t="s">
        <v>1460</v>
      </c>
      <c r="P63" t="s">
        <v>1847</v>
      </c>
    </row>
    <row r="64" spans="1:16" ht="28.5">
      <c r="A64" s="3" t="s">
        <v>19</v>
      </c>
      <c r="B64" s="8"/>
      <c r="C64" s="1" t="s">
        <v>526</v>
      </c>
      <c r="D64" s="2" t="s">
        <v>527</v>
      </c>
      <c r="E64" s="2" t="s">
        <v>562</v>
      </c>
      <c r="F64" s="2"/>
      <c r="G64" s="2"/>
      <c r="H64" s="2"/>
      <c r="I64" s="36">
        <v>1.2999999999999999E-2</v>
      </c>
      <c r="J64" s="2"/>
      <c r="K64" s="2"/>
      <c r="L64" s="2"/>
      <c r="M64" s="3"/>
      <c r="N64"/>
      <c r="O64" t="s">
        <v>1837</v>
      </c>
      <c r="P64" t="s">
        <v>1835</v>
      </c>
    </row>
    <row r="65" spans="1:16">
      <c r="A65" s="3" t="s">
        <v>19</v>
      </c>
      <c r="B65" s="8"/>
      <c r="C65" s="1" t="s">
        <v>91</v>
      </c>
      <c r="D65" s="2" t="s">
        <v>92</v>
      </c>
      <c r="E65" s="1" t="s">
        <v>91</v>
      </c>
      <c r="F65" s="5" t="s">
        <v>655</v>
      </c>
      <c r="G65" s="1"/>
      <c r="H65" s="1"/>
      <c r="I65" s="36">
        <v>8.9999999999999993E-3</v>
      </c>
      <c r="J65" s="1"/>
      <c r="K65" s="2"/>
      <c r="L65" s="2"/>
      <c r="M65" s="3"/>
      <c r="N65" t="s">
        <v>1434</v>
      </c>
      <c r="O65" t="s">
        <v>1433</v>
      </c>
      <c r="P65" t="s">
        <v>1826</v>
      </c>
    </row>
    <row r="66" spans="1:16">
      <c r="A66" s="3" t="s">
        <v>19</v>
      </c>
      <c r="B66" s="8"/>
      <c r="C66" s="1" t="s">
        <v>93</v>
      </c>
      <c r="D66" s="2" t="s">
        <v>94</v>
      </c>
      <c r="E66" s="1" t="s">
        <v>93</v>
      </c>
      <c r="F66" s="1"/>
      <c r="G66" s="1"/>
      <c r="H66" s="1"/>
      <c r="I66" s="36">
        <v>8.9999999999999993E-3</v>
      </c>
      <c r="J66" s="1"/>
      <c r="K66" s="2"/>
      <c r="L66" s="2"/>
      <c r="M66" s="3"/>
      <c r="N66" t="s">
        <v>1434</v>
      </c>
      <c r="O66" t="s">
        <v>1433</v>
      </c>
      <c r="P66" t="s">
        <v>1826</v>
      </c>
    </row>
    <row r="67" spans="1:16">
      <c r="A67" s="3" t="s">
        <v>19</v>
      </c>
      <c r="B67" s="8"/>
      <c r="C67" s="1" t="s">
        <v>1348</v>
      </c>
      <c r="D67" s="2" t="s">
        <v>1430</v>
      </c>
      <c r="E67" s="1" t="s">
        <v>1348</v>
      </c>
      <c r="F67" s="1"/>
      <c r="G67" s="1"/>
      <c r="H67" s="1"/>
      <c r="I67" s="36">
        <v>2.1000000000000001E-2</v>
      </c>
      <c r="J67" s="1"/>
      <c r="K67" s="2"/>
      <c r="L67" s="2"/>
      <c r="M67" s="3"/>
      <c r="N67" t="s">
        <v>1407</v>
      </c>
      <c r="O67" t="s">
        <v>1429</v>
      </c>
      <c r="P67" t="s">
        <v>1849</v>
      </c>
    </row>
    <row r="68" spans="1:16" ht="27">
      <c r="A68" s="3" t="s">
        <v>19</v>
      </c>
      <c r="B68" s="8"/>
      <c r="C68" s="1" t="s">
        <v>53</v>
      </c>
      <c r="D68" s="2" t="s">
        <v>1392</v>
      </c>
      <c r="E68" s="2" t="s">
        <v>1391</v>
      </c>
      <c r="F68" s="2"/>
      <c r="G68" s="2"/>
      <c r="H68" s="2"/>
      <c r="I68" s="36">
        <v>8.9999999999999993E-3</v>
      </c>
      <c r="J68" s="2"/>
      <c r="K68" s="2"/>
      <c r="L68" s="2"/>
      <c r="M68" s="3"/>
      <c r="N68"/>
      <c r="O68" t="s">
        <v>1836</v>
      </c>
      <c r="P68" t="s">
        <v>1830</v>
      </c>
    </row>
    <row r="69" spans="1:16" ht="27">
      <c r="A69" s="3" t="s">
        <v>19</v>
      </c>
      <c r="B69" s="8"/>
      <c r="C69" s="1" t="s">
        <v>56</v>
      </c>
      <c r="D69" s="2" t="s">
        <v>1394</v>
      </c>
      <c r="E69" s="2" t="s">
        <v>1391</v>
      </c>
      <c r="F69" s="2"/>
      <c r="G69" s="2"/>
      <c r="H69" s="2"/>
      <c r="I69" s="36">
        <v>8.0000000000000002E-3</v>
      </c>
      <c r="J69" s="2"/>
      <c r="K69" s="2"/>
      <c r="L69" s="2"/>
      <c r="M69" s="3"/>
      <c r="N69"/>
      <c r="O69" t="s">
        <v>1836</v>
      </c>
      <c r="P69" t="s">
        <v>1830</v>
      </c>
    </row>
    <row r="70" spans="1:16">
      <c r="A70" s="3" t="s">
        <v>19</v>
      </c>
      <c r="B70" s="8"/>
      <c r="C70" s="1" t="s">
        <v>605</v>
      </c>
      <c r="D70" s="2" t="s">
        <v>1427</v>
      </c>
      <c r="E70" s="1" t="s">
        <v>605</v>
      </c>
      <c r="F70" s="1"/>
      <c r="G70" s="1"/>
      <c r="H70" s="1"/>
      <c r="I70" s="36">
        <v>1.4999999999999999E-2</v>
      </c>
      <c r="J70" s="1"/>
      <c r="K70" s="2"/>
      <c r="L70" s="2"/>
      <c r="M70" s="3"/>
      <c r="N70" t="s">
        <v>1407</v>
      </c>
      <c r="O70" t="s">
        <v>1429</v>
      </c>
      <c r="P70" t="s">
        <v>1849</v>
      </c>
    </row>
    <row r="71" spans="1:16" ht="28.5">
      <c r="A71" s="3" t="s">
        <v>19</v>
      </c>
      <c r="B71" s="8"/>
      <c r="C71" s="1" t="s">
        <v>103</v>
      </c>
      <c r="D71" s="2" t="s">
        <v>1451</v>
      </c>
      <c r="E71" s="2" t="s">
        <v>621</v>
      </c>
      <c r="F71" s="6" t="s">
        <v>655</v>
      </c>
      <c r="G71" s="2"/>
      <c r="H71" s="2"/>
      <c r="I71" s="36">
        <v>8.0000000000000002E-3</v>
      </c>
      <c r="J71" s="2"/>
      <c r="K71" s="2"/>
      <c r="L71" s="2"/>
      <c r="M71" s="3"/>
      <c r="N71" t="s">
        <v>1420</v>
      </c>
      <c r="O71" t="s">
        <v>1404</v>
      </c>
      <c r="P71" t="s">
        <v>1830</v>
      </c>
    </row>
    <row r="72" spans="1:16">
      <c r="A72" s="3" t="s">
        <v>19</v>
      </c>
      <c r="B72" s="8"/>
      <c r="C72" s="1" t="s">
        <v>90</v>
      </c>
      <c r="D72" s="2" t="s">
        <v>613</v>
      </c>
      <c r="E72" s="1" t="s">
        <v>90</v>
      </c>
      <c r="F72" s="1"/>
      <c r="G72" s="1"/>
      <c r="H72" s="1"/>
      <c r="I72" s="36">
        <v>7.0000000000000001E-3</v>
      </c>
      <c r="J72" s="1"/>
      <c r="K72" s="2"/>
      <c r="L72" s="2"/>
      <c r="M72" s="3"/>
      <c r="N72" t="s">
        <v>1432</v>
      </c>
      <c r="O72" t="s">
        <v>1433</v>
      </c>
      <c r="P72" t="s">
        <v>1826</v>
      </c>
    </row>
    <row r="73" spans="1:16">
      <c r="A73" s="3" t="s">
        <v>19</v>
      </c>
      <c r="B73" s="8"/>
      <c r="C73" s="1" t="s">
        <v>604</v>
      </c>
      <c r="D73" s="2" t="s">
        <v>85</v>
      </c>
      <c r="E73" s="1" t="s">
        <v>604</v>
      </c>
      <c r="F73" s="1"/>
      <c r="G73" s="1"/>
      <c r="H73" s="1"/>
      <c r="I73" s="36">
        <v>1.0999999999999999E-2</v>
      </c>
      <c r="J73" s="1"/>
      <c r="K73" s="2"/>
      <c r="L73" s="2"/>
      <c r="M73" s="3"/>
      <c r="N73" t="s">
        <v>1407</v>
      </c>
      <c r="O73" t="s">
        <v>1429</v>
      </c>
      <c r="P73" t="s">
        <v>1849</v>
      </c>
    </row>
    <row r="74" spans="1:16" ht="28.5">
      <c r="A74" s="3" t="s">
        <v>19</v>
      </c>
      <c r="B74" s="8"/>
      <c r="C74" s="1" t="s">
        <v>101</v>
      </c>
      <c r="D74" s="2" t="s">
        <v>1450</v>
      </c>
      <c r="E74" s="2" t="s">
        <v>101</v>
      </c>
      <c r="F74" s="2"/>
      <c r="G74" s="2"/>
      <c r="H74" s="2"/>
      <c r="I74" s="36">
        <v>7.0000000000000001E-3</v>
      </c>
      <c r="J74" s="2"/>
      <c r="K74" s="2"/>
      <c r="L74" s="2"/>
      <c r="M74" s="3"/>
      <c r="N74" t="s">
        <v>1420</v>
      </c>
      <c r="O74" t="s">
        <v>1404</v>
      </c>
      <c r="P74" t="s">
        <v>1826</v>
      </c>
    </row>
    <row r="75" spans="1:16" ht="114.75">
      <c r="A75" s="3" t="s">
        <v>19</v>
      </c>
      <c r="B75" s="8"/>
      <c r="C75" s="1" t="s">
        <v>614</v>
      </c>
      <c r="D75" s="2" t="s">
        <v>89</v>
      </c>
      <c r="E75" s="2" t="s">
        <v>588</v>
      </c>
      <c r="F75" s="6" t="s">
        <v>655</v>
      </c>
      <c r="G75" s="2"/>
      <c r="H75" s="2"/>
      <c r="I75" s="36">
        <v>6.0000000000000001E-3</v>
      </c>
      <c r="J75" s="2"/>
      <c r="K75" s="2"/>
      <c r="L75" s="2"/>
      <c r="M75" s="3"/>
      <c r="N75" t="s">
        <v>1432</v>
      </c>
      <c r="O75" t="s">
        <v>1433</v>
      </c>
      <c r="P75" t="s">
        <v>1826</v>
      </c>
    </row>
    <row r="76" spans="1:16" ht="27">
      <c r="A76" s="3" t="s">
        <v>19</v>
      </c>
      <c r="B76" s="8"/>
      <c r="C76" s="1" t="s">
        <v>55</v>
      </c>
      <c r="D76" s="2" t="s">
        <v>1393</v>
      </c>
      <c r="E76" s="2" t="s">
        <v>1391</v>
      </c>
      <c r="F76" s="6" t="s">
        <v>655</v>
      </c>
      <c r="G76" s="2"/>
      <c r="H76" s="2"/>
      <c r="I76" s="36">
        <v>6.0000000000000001E-3</v>
      </c>
      <c r="J76" s="2"/>
      <c r="K76" s="2"/>
      <c r="L76" s="2"/>
      <c r="M76" s="3"/>
      <c r="N76"/>
      <c r="O76" t="s">
        <v>1836</v>
      </c>
      <c r="P76" t="s">
        <v>1830</v>
      </c>
    </row>
    <row r="77" spans="1:16" ht="28.5">
      <c r="A77" s="3" t="s">
        <v>19</v>
      </c>
      <c r="B77" s="8"/>
      <c r="C77" s="1" t="s">
        <v>523</v>
      </c>
      <c r="D77" s="2" t="s">
        <v>1389</v>
      </c>
      <c r="E77" s="2" t="s">
        <v>523</v>
      </c>
      <c r="F77" s="2"/>
      <c r="G77" s="2"/>
      <c r="H77" s="2"/>
      <c r="I77" s="36">
        <v>4.0000000000000001E-3</v>
      </c>
      <c r="J77" s="2"/>
      <c r="K77" s="2"/>
      <c r="L77" s="2"/>
      <c r="M77" s="3"/>
      <c r="N77" t="s">
        <v>1370</v>
      </c>
      <c r="P77" t="s">
        <v>1830</v>
      </c>
    </row>
    <row r="78" spans="1:16" ht="28.5">
      <c r="A78" s="3" t="s">
        <v>19</v>
      </c>
      <c r="B78" s="8"/>
      <c r="C78" s="1" t="s">
        <v>524</v>
      </c>
      <c r="D78" s="2" t="s">
        <v>1390</v>
      </c>
      <c r="E78" s="2" t="s">
        <v>556</v>
      </c>
      <c r="F78" s="6" t="s">
        <v>655</v>
      </c>
      <c r="G78" s="2"/>
      <c r="H78" s="2"/>
      <c r="I78" s="36">
        <v>4.0000000000000001E-3</v>
      </c>
      <c r="J78" s="2"/>
      <c r="K78" s="2"/>
      <c r="L78" s="2"/>
      <c r="M78" s="3"/>
      <c r="N78" t="s">
        <v>1370</v>
      </c>
      <c r="P78" t="s">
        <v>1830</v>
      </c>
    </row>
    <row r="79" spans="1:16">
      <c r="A79" s="3" t="s">
        <v>19</v>
      </c>
      <c r="B79" s="8"/>
      <c r="C79" s="1" t="s">
        <v>1357</v>
      </c>
      <c r="D79" s="6" t="s">
        <v>1359</v>
      </c>
      <c r="E79" s="2" t="s">
        <v>532</v>
      </c>
      <c r="F79" s="2"/>
      <c r="G79" s="2"/>
      <c r="H79" s="2"/>
      <c r="I79" s="36">
        <v>2E-3</v>
      </c>
      <c r="J79" s="2"/>
      <c r="K79" s="2"/>
      <c r="L79" s="2"/>
      <c r="M79" s="3"/>
      <c r="N79" t="s">
        <v>1358</v>
      </c>
      <c r="P79" t="s">
        <v>1826</v>
      </c>
    </row>
    <row r="80" spans="1:16" ht="25.5">
      <c r="A80" s="3" t="s">
        <v>19</v>
      </c>
      <c r="B80" s="8"/>
      <c r="C80" s="1" t="s">
        <v>550</v>
      </c>
      <c r="D80" s="6" t="s">
        <v>1378</v>
      </c>
      <c r="E80" s="2" t="s">
        <v>550</v>
      </c>
      <c r="F80" s="2"/>
      <c r="G80" s="2"/>
      <c r="H80" s="2"/>
      <c r="I80" s="36">
        <v>-0.01</v>
      </c>
      <c r="J80" s="2"/>
      <c r="K80" s="2"/>
      <c r="L80" s="2"/>
      <c r="M80" s="3"/>
      <c r="N80" t="s">
        <v>1379</v>
      </c>
      <c r="O80" t="s">
        <v>1380</v>
      </c>
      <c r="P80" t="s">
        <v>1826</v>
      </c>
    </row>
    <row r="81" spans="1:19" ht="38.25">
      <c r="A81" s="3" t="s">
        <v>741</v>
      </c>
      <c r="B81" s="4" t="s">
        <v>1021</v>
      </c>
      <c r="C81" s="1" t="s">
        <v>1030</v>
      </c>
      <c r="D81" s="2" t="s">
        <v>1031</v>
      </c>
      <c r="E81" s="2" t="s">
        <v>1032</v>
      </c>
      <c r="F81" s="6" t="s">
        <v>1020</v>
      </c>
      <c r="G81" s="6" t="s">
        <v>1018</v>
      </c>
      <c r="H81" s="6"/>
      <c r="I81" s="36">
        <v>3.5000000000000003E-2</v>
      </c>
      <c r="J81" s="36">
        <v>3.5999999999999997E-2</v>
      </c>
      <c r="K81" s="6" t="s">
        <v>1112</v>
      </c>
      <c r="L81" s="2"/>
      <c r="M81" s="3"/>
      <c r="N81"/>
    </row>
    <row r="82" spans="1:19" ht="38.25">
      <c r="A82" s="3" t="s">
        <v>741</v>
      </c>
      <c r="B82" s="4" t="s">
        <v>1021</v>
      </c>
      <c r="C82" s="1" t="s">
        <v>1033</v>
      </c>
      <c r="D82" s="2" t="s">
        <v>1034</v>
      </c>
      <c r="E82" s="2" t="s">
        <v>1032</v>
      </c>
      <c r="F82" s="6" t="s">
        <v>1020</v>
      </c>
      <c r="G82" s="6" t="s">
        <v>1018</v>
      </c>
      <c r="H82" s="6"/>
      <c r="I82" s="36">
        <v>4.2999999999999997E-2</v>
      </c>
      <c r="J82" s="36">
        <v>4.3999999999999997E-2</v>
      </c>
      <c r="K82" s="6" t="s">
        <v>1112</v>
      </c>
      <c r="L82" s="2"/>
      <c r="M82" s="3"/>
      <c r="N82"/>
    </row>
    <row r="83" spans="1:19" ht="38.25">
      <c r="A83" s="3" t="s">
        <v>741</v>
      </c>
      <c r="B83" s="4" t="s">
        <v>1021</v>
      </c>
      <c r="C83" s="1" t="s">
        <v>1035</v>
      </c>
      <c r="D83" s="2" t="s">
        <v>1036</v>
      </c>
      <c r="E83" s="2" t="s">
        <v>1032</v>
      </c>
      <c r="F83" s="6" t="s">
        <v>1037</v>
      </c>
      <c r="G83" s="6" t="s">
        <v>1018</v>
      </c>
      <c r="H83" s="6"/>
      <c r="I83" s="36">
        <v>4.5999999999999999E-2</v>
      </c>
      <c r="J83" s="36">
        <v>4.5999999999999999E-2</v>
      </c>
      <c r="K83" s="6" t="s">
        <v>1112</v>
      </c>
      <c r="L83" s="2"/>
      <c r="M83" s="3"/>
      <c r="N83"/>
    </row>
    <row r="84" spans="1:19" ht="39.75">
      <c r="A84" s="3" t="s">
        <v>741</v>
      </c>
      <c r="B84" s="4" t="s">
        <v>1021</v>
      </c>
      <c r="C84" s="1" t="s">
        <v>1022</v>
      </c>
      <c r="D84" s="2" t="s">
        <v>1023</v>
      </c>
      <c r="E84" s="2" t="s">
        <v>1024</v>
      </c>
      <c r="F84" s="6" t="s">
        <v>1019</v>
      </c>
      <c r="G84" s="6" t="s">
        <v>1025</v>
      </c>
      <c r="H84" s="6"/>
      <c r="I84" s="36">
        <v>3.5000000000000003E-2</v>
      </c>
      <c r="J84" s="36" t="s">
        <v>1111</v>
      </c>
      <c r="K84" s="6" t="s">
        <v>1026</v>
      </c>
      <c r="L84" s="2"/>
      <c r="M84" s="3"/>
      <c r="N84"/>
    </row>
    <row r="85" spans="1:19" ht="39.75">
      <c r="A85" s="3" t="s">
        <v>741</v>
      </c>
      <c r="B85" s="4" t="s">
        <v>1021</v>
      </c>
      <c r="C85" s="1" t="s">
        <v>1027</v>
      </c>
      <c r="D85" s="2" t="s">
        <v>1028</v>
      </c>
      <c r="E85" s="2" t="s">
        <v>1024</v>
      </c>
      <c r="F85" s="6" t="s">
        <v>1019</v>
      </c>
      <c r="G85" s="6" t="s">
        <v>1025</v>
      </c>
      <c r="H85" s="6"/>
      <c r="I85" s="36">
        <v>4.2999999999999997E-2</v>
      </c>
      <c r="J85" s="36" t="s">
        <v>1111</v>
      </c>
      <c r="K85" s="6" t="s">
        <v>1026</v>
      </c>
      <c r="L85" s="2"/>
      <c r="M85" s="3"/>
      <c r="N85"/>
    </row>
    <row r="86" spans="1:19" ht="39.75">
      <c r="A86" s="3" t="s">
        <v>741</v>
      </c>
      <c r="B86" s="4" t="s">
        <v>1021</v>
      </c>
      <c r="C86" s="1" t="s">
        <v>1029</v>
      </c>
      <c r="D86" s="2" t="s">
        <v>1028</v>
      </c>
      <c r="E86" s="2" t="s">
        <v>1024</v>
      </c>
      <c r="F86" s="6" t="s">
        <v>1019</v>
      </c>
      <c r="G86" s="6" t="s">
        <v>1025</v>
      </c>
      <c r="H86" s="6"/>
      <c r="I86" s="36">
        <v>4.5999999999999999E-2</v>
      </c>
      <c r="J86" s="36" t="s">
        <v>1111</v>
      </c>
      <c r="K86" s="6" t="s">
        <v>1026</v>
      </c>
      <c r="L86" s="2"/>
      <c r="M86" s="3"/>
      <c r="N86"/>
    </row>
    <row r="87" spans="1:19">
      <c r="A87" s="3" t="s">
        <v>767</v>
      </c>
      <c r="B87" s="4" t="s">
        <v>1073</v>
      </c>
      <c r="C87" s="1" t="s">
        <v>1074</v>
      </c>
      <c r="D87" s="2" t="s">
        <v>1075</v>
      </c>
      <c r="E87" s="2" t="s">
        <v>1076</v>
      </c>
      <c r="F87" s="6" t="s">
        <v>1047</v>
      </c>
      <c r="G87" s="6" t="s">
        <v>1072</v>
      </c>
      <c r="H87" s="6"/>
      <c r="I87" s="36">
        <v>1.9E-2</v>
      </c>
      <c r="J87" s="36" t="s">
        <v>1111</v>
      </c>
      <c r="K87" s="6" t="s">
        <v>1077</v>
      </c>
      <c r="L87" s="2"/>
      <c r="M87" s="3"/>
      <c r="N87"/>
    </row>
    <row r="88" spans="1:19" ht="42.75">
      <c r="A88" s="3" t="s">
        <v>741</v>
      </c>
      <c r="B88" s="4" t="s">
        <v>1038</v>
      </c>
      <c r="C88" s="1" t="s">
        <v>1039</v>
      </c>
      <c r="D88" s="2" t="s">
        <v>1040</v>
      </c>
      <c r="E88" s="2" t="s">
        <v>1039</v>
      </c>
      <c r="F88" s="6" t="s">
        <v>1037</v>
      </c>
      <c r="G88" s="6" t="s">
        <v>1025</v>
      </c>
      <c r="H88" s="6"/>
      <c r="I88" s="36">
        <v>1.7000000000000001E-2</v>
      </c>
      <c r="J88" s="36" t="s">
        <v>1111</v>
      </c>
      <c r="K88" s="6" t="s">
        <v>1041</v>
      </c>
      <c r="L88" s="2"/>
      <c r="M88" s="3"/>
      <c r="N88"/>
    </row>
    <row r="89" spans="1:19" ht="28.5">
      <c r="A89" s="3" t="s">
        <v>767</v>
      </c>
      <c r="B89" s="4" t="s">
        <v>768</v>
      </c>
      <c r="C89" s="1" t="s">
        <v>2308</v>
      </c>
      <c r="D89" s="2" t="s">
        <v>1053</v>
      </c>
      <c r="E89" s="2" t="s">
        <v>759</v>
      </c>
      <c r="F89" s="6" t="s">
        <v>1047</v>
      </c>
      <c r="G89" s="6" t="s">
        <v>1018</v>
      </c>
      <c r="H89" s="6"/>
      <c r="I89" s="36">
        <v>1.7000000000000001E-2</v>
      </c>
      <c r="J89" s="36">
        <v>1.4999999999999999E-2</v>
      </c>
      <c r="K89" s="6" t="s">
        <v>1054</v>
      </c>
      <c r="L89" s="2"/>
      <c r="M89" s="3"/>
      <c r="N89" s="3"/>
      <c r="O89" s="3"/>
      <c r="P89" s="2"/>
      <c r="Q89" s="2"/>
      <c r="R89" s="6"/>
      <c r="S89" s="2"/>
    </row>
    <row r="90" spans="1:19" ht="28.5">
      <c r="A90" s="3" t="s">
        <v>767</v>
      </c>
      <c r="B90" s="4" t="s">
        <v>768</v>
      </c>
      <c r="C90" s="1" t="s">
        <v>2272</v>
      </c>
      <c r="D90" s="2" t="s">
        <v>1055</v>
      </c>
      <c r="E90" s="2" t="s">
        <v>759</v>
      </c>
      <c r="F90" s="6" t="s">
        <v>1047</v>
      </c>
      <c r="G90" s="6" t="s">
        <v>1018</v>
      </c>
      <c r="H90" s="6"/>
      <c r="I90" s="36">
        <v>4.0000000000000001E-3</v>
      </c>
      <c r="J90" s="36">
        <v>1.2999999999999999E-2</v>
      </c>
      <c r="K90" s="6" t="s">
        <v>1056</v>
      </c>
      <c r="L90" s="2"/>
      <c r="M90" s="3"/>
      <c r="N90"/>
    </row>
    <row r="91" spans="1:19" ht="42.75">
      <c r="A91" s="3" t="s">
        <v>1042</v>
      </c>
      <c r="B91" s="4" t="s">
        <v>1043</v>
      </c>
      <c r="C91" s="1" t="s">
        <v>1044</v>
      </c>
      <c r="D91" s="2" t="s">
        <v>1045</v>
      </c>
      <c r="E91" s="2" t="s">
        <v>1046</v>
      </c>
      <c r="F91" s="6" t="s">
        <v>1047</v>
      </c>
      <c r="G91" s="6" t="s">
        <v>1048</v>
      </c>
      <c r="H91" s="6"/>
      <c r="I91" s="36">
        <v>1.7999999999999999E-2</v>
      </c>
      <c r="J91" s="36" t="s">
        <v>1111</v>
      </c>
      <c r="K91" s="6" t="s">
        <v>1049</v>
      </c>
      <c r="L91" s="2"/>
      <c r="M91" s="3"/>
      <c r="N91"/>
    </row>
    <row r="92" spans="1:19" ht="51">
      <c r="A92" s="3" t="s">
        <v>1042</v>
      </c>
      <c r="B92" s="4" t="s">
        <v>1043</v>
      </c>
      <c r="C92" s="1" t="s">
        <v>1050</v>
      </c>
      <c r="D92" s="2" t="s">
        <v>1045</v>
      </c>
      <c r="E92" s="2" t="s">
        <v>1046</v>
      </c>
      <c r="F92" s="6" t="s">
        <v>1047</v>
      </c>
      <c r="G92" s="6" t="s">
        <v>1051</v>
      </c>
      <c r="H92" s="6"/>
      <c r="I92" s="36">
        <v>4.0000000000000001E-3</v>
      </c>
      <c r="J92" s="36" t="s">
        <v>1111</v>
      </c>
      <c r="K92" s="6" t="s">
        <v>1052</v>
      </c>
      <c r="L92" s="2"/>
      <c r="M92" s="3"/>
      <c r="N92"/>
    </row>
    <row r="93" spans="1:19">
      <c r="A93" s="3" t="s">
        <v>767</v>
      </c>
      <c r="B93" s="4" t="s">
        <v>768</v>
      </c>
      <c r="C93" s="1" t="s">
        <v>795</v>
      </c>
      <c r="D93" s="2" t="s">
        <v>1070</v>
      </c>
      <c r="E93" s="2" t="s">
        <v>795</v>
      </c>
      <c r="F93" s="6" t="s">
        <v>1071</v>
      </c>
      <c r="G93" s="6" t="s">
        <v>1072</v>
      </c>
      <c r="H93" s="6"/>
      <c r="I93" s="36">
        <v>8.9999999999999993E-3</v>
      </c>
      <c r="J93" s="36" t="s">
        <v>1111</v>
      </c>
      <c r="K93" s="6"/>
      <c r="L93" s="2"/>
      <c r="M93" s="3"/>
      <c r="N93"/>
    </row>
    <row r="94" spans="1:19" ht="28.5">
      <c r="A94" s="3" t="s">
        <v>1092</v>
      </c>
      <c r="B94" s="4" t="s">
        <v>1093</v>
      </c>
      <c r="C94" s="1" t="s">
        <v>2273</v>
      </c>
      <c r="D94" s="2" t="s">
        <v>1095</v>
      </c>
      <c r="E94" s="2" t="s">
        <v>1094</v>
      </c>
      <c r="F94" s="6" t="s">
        <v>1047</v>
      </c>
      <c r="G94" s="6" t="s">
        <v>1051</v>
      </c>
      <c r="H94" s="6"/>
      <c r="I94" s="36">
        <v>2.1000000000000001E-2</v>
      </c>
      <c r="J94" s="36" t="s">
        <v>1111</v>
      </c>
      <c r="K94" s="6" t="s">
        <v>1096</v>
      </c>
      <c r="L94" s="2"/>
      <c r="M94" s="3"/>
      <c r="N94"/>
    </row>
    <row r="95" spans="1:19" ht="28.5">
      <c r="A95" s="3" t="s">
        <v>767</v>
      </c>
      <c r="B95" s="4" t="s">
        <v>768</v>
      </c>
      <c r="C95" s="1" t="s">
        <v>2274</v>
      </c>
      <c r="D95" s="2" t="s">
        <v>846</v>
      </c>
      <c r="E95" s="2" t="s">
        <v>837</v>
      </c>
      <c r="F95" s="6" t="s">
        <v>1047</v>
      </c>
      <c r="G95" s="6" t="s">
        <v>1018</v>
      </c>
      <c r="H95" s="6"/>
      <c r="I95" s="36">
        <v>2.1000000000000001E-2</v>
      </c>
      <c r="J95" s="36">
        <v>0.02</v>
      </c>
      <c r="K95" s="6" t="s">
        <v>1114</v>
      </c>
      <c r="L95" s="2"/>
      <c r="M95" s="3"/>
      <c r="N95"/>
    </row>
    <row r="96" spans="1:19" ht="28.5">
      <c r="A96" s="3" t="s">
        <v>767</v>
      </c>
      <c r="B96" s="4" t="s">
        <v>768</v>
      </c>
      <c r="C96" s="1" t="s">
        <v>2275</v>
      </c>
      <c r="D96" s="2" t="s">
        <v>846</v>
      </c>
      <c r="E96" s="2" t="s">
        <v>837</v>
      </c>
      <c r="F96" s="6" t="s">
        <v>1047</v>
      </c>
      <c r="G96" s="6" t="s">
        <v>1018</v>
      </c>
      <c r="H96" s="6"/>
      <c r="I96" s="36">
        <v>1.6E-2</v>
      </c>
      <c r="J96" s="36">
        <v>1.2999999999999999E-2</v>
      </c>
      <c r="K96" s="6" t="s">
        <v>1113</v>
      </c>
      <c r="L96" s="2"/>
      <c r="M96" s="3"/>
      <c r="N96"/>
    </row>
    <row r="97" spans="1:14" ht="28.5">
      <c r="A97" s="3" t="s">
        <v>767</v>
      </c>
      <c r="B97" s="4" t="s">
        <v>768</v>
      </c>
      <c r="C97" s="1" t="s">
        <v>1097</v>
      </c>
      <c r="D97" s="2" t="s">
        <v>836</v>
      </c>
      <c r="E97" s="2" t="s">
        <v>837</v>
      </c>
      <c r="F97" s="6" t="s">
        <v>1047</v>
      </c>
      <c r="G97" s="6" t="s">
        <v>1051</v>
      </c>
      <c r="H97" s="6"/>
      <c r="I97" s="36">
        <v>2.1999999999999999E-2</v>
      </c>
      <c r="J97" s="36" t="s">
        <v>1111</v>
      </c>
      <c r="K97" s="6" t="s">
        <v>1098</v>
      </c>
      <c r="L97" s="2"/>
      <c r="M97" s="3"/>
      <c r="N97"/>
    </row>
    <row r="98" spans="1:14" ht="28.5">
      <c r="A98" s="3" t="s">
        <v>767</v>
      </c>
      <c r="B98" s="4" t="s">
        <v>768</v>
      </c>
      <c r="C98" s="1" t="s">
        <v>845</v>
      </c>
      <c r="D98" s="2" t="s">
        <v>846</v>
      </c>
      <c r="E98" s="2" t="s">
        <v>837</v>
      </c>
      <c r="F98" s="6" t="s">
        <v>1047</v>
      </c>
      <c r="G98" s="6" t="s">
        <v>1051</v>
      </c>
      <c r="H98" s="6"/>
      <c r="I98" s="36">
        <v>1.6E-2</v>
      </c>
      <c r="J98" s="36" t="s">
        <v>1111</v>
      </c>
      <c r="K98" s="6" t="s">
        <v>1099</v>
      </c>
      <c r="L98" s="2"/>
      <c r="M98" s="3"/>
      <c r="N98"/>
    </row>
    <row r="99" spans="1:14" ht="51">
      <c r="A99" s="3" t="s">
        <v>767</v>
      </c>
      <c r="B99" s="4" t="s">
        <v>786</v>
      </c>
      <c r="C99" s="1" t="s">
        <v>780</v>
      </c>
      <c r="D99" s="2" t="s">
        <v>1057</v>
      </c>
      <c r="E99" s="2" t="s">
        <v>780</v>
      </c>
      <c r="F99" s="6" t="s">
        <v>1120</v>
      </c>
      <c r="G99" s="6" t="s">
        <v>1051</v>
      </c>
      <c r="H99" s="6"/>
      <c r="I99" s="36">
        <v>3.5000000000000003E-2</v>
      </c>
      <c r="J99" s="36" t="s">
        <v>1111</v>
      </c>
      <c r="K99" s="6" t="s">
        <v>1058</v>
      </c>
      <c r="L99" s="2"/>
      <c r="M99" s="3"/>
      <c r="N99"/>
    </row>
    <row r="100" spans="1:14">
      <c r="A100" s="3" t="s">
        <v>767</v>
      </c>
      <c r="B100" s="4" t="s">
        <v>786</v>
      </c>
      <c r="C100" s="1" t="s">
        <v>2289</v>
      </c>
      <c r="D100" s="2" t="s">
        <v>1063</v>
      </c>
      <c r="E100" s="2" t="s">
        <v>780</v>
      </c>
      <c r="F100" s="6" t="s">
        <v>1047</v>
      </c>
      <c r="G100" s="6" t="s">
        <v>1018</v>
      </c>
      <c r="H100" s="6"/>
      <c r="I100" s="36">
        <v>3.4000000000000002E-2</v>
      </c>
      <c r="J100" s="36">
        <v>3.4000000000000002E-2</v>
      </c>
      <c r="K100" s="6" t="s">
        <v>1064</v>
      </c>
      <c r="L100" s="2"/>
      <c r="M100" s="3"/>
      <c r="N100"/>
    </row>
    <row r="101" spans="1:14">
      <c r="A101" s="3" t="s">
        <v>767</v>
      </c>
      <c r="B101" s="4" t="s">
        <v>786</v>
      </c>
      <c r="C101" s="1" t="s">
        <v>1065</v>
      </c>
      <c r="D101" s="2" t="s">
        <v>1066</v>
      </c>
      <c r="E101" s="2" t="s">
        <v>780</v>
      </c>
      <c r="F101" s="6" t="s">
        <v>1047</v>
      </c>
      <c r="G101" s="6" t="s">
        <v>1018</v>
      </c>
      <c r="H101" s="6"/>
      <c r="I101" s="36">
        <v>3.1E-2</v>
      </c>
      <c r="J101" s="36">
        <v>3.2000000000000001E-2</v>
      </c>
      <c r="K101" s="6" t="s">
        <v>1067</v>
      </c>
      <c r="L101" s="2"/>
      <c r="M101" s="3"/>
      <c r="N101"/>
    </row>
    <row r="102" spans="1:14">
      <c r="A102" s="3" t="s">
        <v>767</v>
      </c>
      <c r="B102" s="4" t="s">
        <v>786</v>
      </c>
      <c r="C102" s="1" t="s">
        <v>2309</v>
      </c>
      <c r="D102" s="2" t="s">
        <v>1068</v>
      </c>
      <c r="E102" s="2" t="s">
        <v>780</v>
      </c>
      <c r="F102" s="6" t="s">
        <v>1047</v>
      </c>
      <c r="G102" s="6" t="s">
        <v>1018</v>
      </c>
      <c r="H102" s="6"/>
      <c r="I102" s="36">
        <v>3.5000000000000003E-2</v>
      </c>
      <c r="J102" s="36">
        <v>3.5999999999999997E-2</v>
      </c>
      <c r="K102" s="6" t="s">
        <v>1069</v>
      </c>
      <c r="L102" s="2"/>
      <c r="M102" s="3"/>
      <c r="N102"/>
    </row>
    <row r="103" spans="1:14" ht="63.75">
      <c r="A103" s="3" t="s">
        <v>767</v>
      </c>
      <c r="B103" s="4" t="s">
        <v>786</v>
      </c>
      <c r="C103" s="1" t="s">
        <v>1059</v>
      </c>
      <c r="D103" s="2" t="s">
        <v>781</v>
      </c>
      <c r="E103" s="2" t="s">
        <v>780</v>
      </c>
      <c r="F103" s="6" t="s">
        <v>1120</v>
      </c>
      <c r="G103" s="6" t="s">
        <v>1051</v>
      </c>
      <c r="H103" s="6"/>
      <c r="I103" s="36">
        <v>3.4000000000000002E-2</v>
      </c>
      <c r="J103" s="36" t="s">
        <v>1111</v>
      </c>
      <c r="K103" s="6" t="s">
        <v>1060</v>
      </c>
      <c r="L103" s="2"/>
      <c r="M103" s="3"/>
      <c r="N103"/>
    </row>
    <row r="104" spans="1:14" ht="63.75">
      <c r="A104" s="3" t="s">
        <v>767</v>
      </c>
      <c r="B104" s="4" t="s">
        <v>786</v>
      </c>
      <c r="C104" s="1" t="s">
        <v>1061</v>
      </c>
      <c r="D104" s="2" t="s">
        <v>1057</v>
      </c>
      <c r="E104" s="2" t="s">
        <v>780</v>
      </c>
      <c r="F104" s="6" t="s">
        <v>1120</v>
      </c>
      <c r="G104" s="6" t="s">
        <v>1051</v>
      </c>
      <c r="H104" s="6"/>
      <c r="I104" s="36">
        <v>3.1E-2</v>
      </c>
      <c r="J104" s="36" t="s">
        <v>1111</v>
      </c>
      <c r="K104" s="6" t="s">
        <v>1062</v>
      </c>
      <c r="L104" s="2"/>
      <c r="M104" s="3"/>
      <c r="N104"/>
    </row>
    <row r="105" spans="1:14" ht="39.75">
      <c r="A105" s="3" t="s">
        <v>767</v>
      </c>
      <c r="B105" s="4" t="s">
        <v>786</v>
      </c>
      <c r="C105" s="1" t="s">
        <v>802</v>
      </c>
      <c r="D105" s="2" t="s">
        <v>803</v>
      </c>
      <c r="E105" s="2" t="s">
        <v>1078</v>
      </c>
      <c r="F105" s="6" t="s">
        <v>1020</v>
      </c>
      <c r="G105" s="6" t="s">
        <v>1072</v>
      </c>
      <c r="H105" s="6"/>
      <c r="I105" s="36">
        <v>2.7E-2</v>
      </c>
      <c r="J105" s="36" t="s">
        <v>1111</v>
      </c>
      <c r="K105" s="6" t="s">
        <v>1079</v>
      </c>
      <c r="L105" s="2"/>
      <c r="M105" s="3"/>
      <c r="N105"/>
    </row>
    <row r="106" spans="1:14">
      <c r="A106" s="3" t="s">
        <v>767</v>
      </c>
      <c r="B106" s="4" t="s">
        <v>786</v>
      </c>
      <c r="C106" s="1" t="s">
        <v>848</v>
      </c>
      <c r="D106" s="2" t="s">
        <v>1100</v>
      </c>
      <c r="E106" s="2" t="s">
        <v>848</v>
      </c>
      <c r="F106" s="6" t="s">
        <v>1020</v>
      </c>
      <c r="G106" s="6" t="s">
        <v>1072</v>
      </c>
      <c r="H106" s="6"/>
      <c r="I106" s="36">
        <v>1.4E-2</v>
      </c>
      <c r="J106" s="36" t="s">
        <v>1111</v>
      </c>
      <c r="K106" s="6"/>
      <c r="L106" s="2"/>
      <c r="M106" s="3"/>
      <c r="N106"/>
    </row>
    <row r="107" spans="1:14">
      <c r="A107" s="3" t="s">
        <v>767</v>
      </c>
      <c r="B107" s="4" t="s">
        <v>786</v>
      </c>
      <c r="C107" s="1" t="s">
        <v>873</v>
      </c>
      <c r="D107" s="2" t="s">
        <v>874</v>
      </c>
      <c r="E107" s="2" t="s">
        <v>873</v>
      </c>
      <c r="F107" s="6" t="s">
        <v>1020</v>
      </c>
      <c r="G107" s="6" t="s">
        <v>1072</v>
      </c>
      <c r="H107" s="6"/>
      <c r="I107" s="36">
        <v>3.4000000000000002E-2</v>
      </c>
      <c r="J107" s="36" t="s">
        <v>1111</v>
      </c>
      <c r="K107" s="6"/>
      <c r="L107" s="2"/>
      <c r="M107" s="3"/>
      <c r="N107"/>
    </row>
    <row r="108" spans="1:14">
      <c r="A108" s="3" t="s">
        <v>741</v>
      </c>
      <c r="B108" s="4" t="s">
        <v>742</v>
      </c>
      <c r="C108" s="1" t="s">
        <v>743</v>
      </c>
      <c r="D108" s="2" t="s">
        <v>744</v>
      </c>
      <c r="E108" s="2" t="s">
        <v>745</v>
      </c>
      <c r="F108" s="6" t="s">
        <v>1015</v>
      </c>
      <c r="G108" s="6" t="s">
        <v>1016</v>
      </c>
      <c r="H108" s="6"/>
      <c r="I108" s="36" t="s">
        <v>1019</v>
      </c>
      <c r="J108" s="36" t="s">
        <v>1019</v>
      </c>
      <c r="K108" s="6" t="s">
        <v>1017</v>
      </c>
      <c r="L108" s="2"/>
      <c r="M108" s="3"/>
      <c r="N108"/>
    </row>
    <row r="109" spans="1:14">
      <c r="A109" s="3" t="s">
        <v>767</v>
      </c>
      <c r="B109" s="4" t="s">
        <v>1080</v>
      </c>
      <c r="C109" s="1" t="s">
        <v>1081</v>
      </c>
      <c r="D109" s="2" t="s">
        <v>1082</v>
      </c>
      <c r="E109" s="2" t="s">
        <v>1081</v>
      </c>
      <c r="F109" s="6" t="s">
        <v>1015</v>
      </c>
      <c r="G109" s="6" t="s">
        <v>1072</v>
      </c>
      <c r="H109" s="6"/>
      <c r="I109" s="36" t="s">
        <v>1111</v>
      </c>
      <c r="J109" s="36" t="s">
        <v>1111</v>
      </c>
      <c r="K109" s="6"/>
      <c r="L109" s="2"/>
      <c r="M109" s="3"/>
      <c r="N109"/>
    </row>
    <row r="110" spans="1:14" ht="27">
      <c r="A110" s="3" t="s">
        <v>767</v>
      </c>
      <c r="B110" s="4" t="s">
        <v>1080</v>
      </c>
      <c r="C110" s="1" t="s">
        <v>1086</v>
      </c>
      <c r="D110" s="2" t="s">
        <v>1087</v>
      </c>
      <c r="E110" s="2" t="s">
        <v>1086</v>
      </c>
      <c r="F110" s="6" t="s">
        <v>1047</v>
      </c>
      <c r="G110" s="6" t="s">
        <v>1051</v>
      </c>
      <c r="H110" s="6"/>
      <c r="I110" s="36" t="s">
        <v>1111</v>
      </c>
      <c r="J110" s="36" t="s">
        <v>1111</v>
      </c>
      <c r="K110" s="6" t="s">
        <v>1088</v>
      </c>
      <c r="L110" s="2"/>
      <c r="M110" s="3"/>
      <c r="N110"/>
    </row>
    <row r="111" spans="1:14">
      <c r="A111" s="3" t="s">
        <v>767</v>
      </c>
      <c r="B111" s="4" t="s">
        <v>1080</v>
      </c>
      <c r="C111" s="1" t="s">
        <v>1089</v>
      </c>
      <c r="D111" s="2" t="s">
        <v>1090</v>
      </c>
      <c r="E111" s="2" t="s">
        <v>1086</v>
      </c>
      <c r="F111" s="6" t="s">
        <v>1047</v>
      </c>
      <c r="G111" s="6" t="s">
        <v>1091</v>
      </c>
      <c r="H111" s="6"/>
      <c r="I111" s="36">
        <v>2.8000000000000001E-2</v>
      </c>
      <c r="J111" s="36" t="s">
        <v>1111</v>
      </c>
      <c r="K111" s="6"/>
      <c r="L111" s="2"/>
      <c r="M111" s="3"/>
      <c r="N111"/>
    </row>
    <row r="112" spans="1:14" ht="54">
      <c r="A112" s="3" t="s">
        <v>767</v>
      </c>
      <c r="B112" s="4" t="s">
        <v>863</v>
      </c>
      <c r="C112" s="1" t="s">
        <v>1101</v>
      </c>
      <c r="D112" s="2" t="s">
        <v>1102</v>
      </c>
      <c r="E112" s="2" t="s">
        <v>1101</v>
      </c>
      <c r="F112" s="6" t="s">
        <v>1019</v>
      </c>
      <c r="G112" s="6" t="s">
        <v>1051</v>
      </c>
      <c r="H112" s="6"/>
      <c r="I112" s="36">
        <v>1.2E-2</v>
      </c>
      <c r="J112" s="36" t="s">
        <v>1111</v>
      </c>
      <c r="K112" s="6" t="s">
        <v>1103</v>
      </c>
      <c r="L112" s="2"/>
      <c r="M112" s="3"/>
      <c r="N112"/>
    </row>
    <row r="113" spans="1:14" ht="54">
      <c r="A113" s="3" t="s">
        <v>767</v>
      </c>
      <c r="B113" s="4" t="s">
        <v>863</v>
      </c>
      <c r="C113" s="1" t="s">
        <v>2287</v>
      </c>
      <c r="D113" s="2" t="s">
        <v>1104</v>
      </c>
      <c r="E113" s="2" t="s">
        <v>1101</v>
      </c>
      <c r="F113" s="6" t="s">
        <v>1020</v>
      </c>
      <c r="G113" s="6" t="s">
        <v>1018</v>
      </c>
      <c r="H113" s="6"/>
      <c r="I113" s="36">
        <v>1.2E-2</v>
      </c>
      <c r="J113" s="36">
        <v>1.7000000000000001E-2</v>
      </c>
      <c r="K113" s="6" t="s">
        <v>1103</v>
      </c>
      <c r="L113" s="2"/>
      <c r="M113" s="3"/>
      <c r="N113"/>
    </row>
    <row r="114" spans="1:14" ht="51">
      <c r="A114" s="3" t="s">
        <v>767</v>
      </c>
      <c r="B114" s="4" t="s">
        <v>863</v>
      </c>
      <c r="C114" s="1" t="s">
        <v>866</v>
      </c>
      <c r="D114" s="2" t="s">
        <v>1115</v>
      </c>
      <c r="E114" s="2" t="s">
        <v>866</v>
      </c>
      <c r="F114" s="6" t="s">
        <v>1019</v>
      </c>
      <c r="G114" s="6" t="s">
        <v>1051</v>
      </c>
      <c r="H114" s="6"/>
      <c r="I114" s="36">
        <v>4.2999999999999997E-2</v>
      </c>
      <c r="J114" s="36" t="s">
        <v>1111</v>
      </c>
      <c r="K114" s="6" t="s">
        <v>1105</v>
      </c>
      <c r="L114" s="2"/>
      <c r="M114" s="3"/>
      <c r="N114"/>
    </row>
    <row r="115" spans="1:14" ht="63.75">
      <c r="A115" s="3" t="s">
        <v>767</v>
      </c>
      <c r="B115" s="4" t="s">
        <v>863</v>
      </c>
      <c r="C115" s="1" t="s">
        <v>2288</v>
      </c>
      <c r="D115" s="2" t="s">
        <v>867</v>
      </c>
      <c r="E115" s="2" t="s">
        <v>866</v>
      </c>
      <c r="F115" s="6" t="s">
        <v>1047</v>
      </c>
      <c r="G115" s="6" t="s">
        <v>1018</v>
      </c>
      <c r="H115" s="6"/>
      <c r="I115" s="36">
        <v>4.2000000000000003E-2</v>
      </c>
      <c r="J115" s="36">
        <v>4.2000000000000003E-2</v>
      </c>
      <c r="K115" s="6" t="s">
        <v>1119</v>
      </c>
      <c r="L115" s="2"/>
      <c r="M115" s="3"/>
      <c r="N115"/>
    </row>
    <row r="116" spans="1:14" ht="63.75">
      <c r="A116" s="3" t="s">
        <v>767</v>
      </c>
      <c r="B116" s="4" t="s">
        <v>863</v>
      </c>
      <c r="C116" s="1" t="s">
        <v>1109</v>
      </c>
      <c r="D116" s="2" t="s">
        <v>1116</v>
      </c>
      <c r="E116" s="2" t="s">
        <v>866</v>
      </c>
      <c r="F116" s="6" t="s">
        <v>1047</v>
      </c>
      <c r="G116" s="6" t="s">
        <v>1018</v>
      </c>
      <c r="H116" s="6"/>
      <c r="I116" s="36">
        <v>3.2000000000000001E-2</v>
      </c>
      <c r="J116" s="36">
        <v>3.3000000000000002E-2</v>
      </c>
      <c r="K116" s="6" t="s">
        <v>1118</v>
      </c>
      <c r="L116" s="2"/>
      <c r="M116" s="3"/>
      <c r="N116"/>
    </row>
    <row r="117" spans="1:14" ht="63.75">
      <c r="A117" s="3" t="s">
        <v>767</v>
      </c>
      <c r="B117" s="4" t="s">
        <v>863</v>
      </c>
      <c r="C117" s="1" t="s">
        <v>1110</v>
      </c>
      <c r="D117" s="6" t="s">
        <v>1117</v>
      </c>
      <c r="E117" s="2" t="s">
        <v>866</v>
      </c>
      <c r="F117" s="6" t="s">
        <v>1047</v>
      </c>
      <c r="G117" s="6" t="s">
        <v>1018</v>
      </c>
      <c r="H117" s="6"/>
      <c r="I117" s="36">
        <v>4.2999999999999997E-2</v>
      </c>
      <c r="J117" s="36">
        <v>0.04</v>
      </c>
      <c r="K117" s="6" t="s">
        <v>1117</v>
      </c>
      <c r="L117" s="2"/>
      <c r="M117" s="3"/>
      <c r="N117"/>
    </row>
    <row r="118" spans="1:14" ht="89.25">
      <c r="A118" s="3" t="s">
        <v>767</v>
      </c>
      <c r="B118" s="4" t="s">
        <v>863</v>
      </c>
      <c r="C118" s="1" t="s">
        <v>864</v>
      </c>
      <c r="D118" s="2" t="s">
        <v>865</v>
      </c>
      <c r="E118" s="2" t="s">
        <v>866</v>
      </c>
      <c r="F118" s="6" t="s">
        <v>1019</v>
      </c>
      <c r="G118" s="6" t="s">
        <v>1051</v>
      </c>
      <c r="H118" s="6"/>
      <c r="I118" s="36">
        <v>4.2000000000000003E-2</v>
      </c>
      <c r="J118" s="36" t="s">
        <v>1111</v>
      </c>
      <c r="K118" s="6" t="s">
        <v>1106</v>
      </c>
      <c r="L118" s="2"/>
      <c r="M118" s="3"/>
      <c r="N118"/>
    </row>
    <row r="119" spans="1:14" ht="89.25">
      <c r="A119" s="3" t="s">
        <v>767</v>
      </c>
      <c r="B119" s="4" t="s">
        <v>863</v>
      </c>
      <c r="C119" s="1" t="s">
        <v>1107</v>
      </c>
      <c r="D119" s="2" t="s">
        <v>1115</v>
      </c>
      <c r="E119" s="2" t="s">
        <v>866</v>
      </c>
      <c r="F119" s="6" t="s">
        <v>1019</v>
      </c>
      <c r="G119" s="6" t="s">
        <v>1051</v>
      </c>
      <c r="H119" s="6"/>
      <c r="I119" s="36">
        <v>3.2000000000000001E-2</v>
      </c>
      <c r="J119" s="36" t="s">
        <v>1111</v>
      </c>
      <c r="K119" s="6" t="s">
        <v>1108</v>
      </c>
      <c r="L119" s="2"/>
      <c r="M119" s="3"/>
      <c r="N119"/>
    </row>
    <row r="120" spans="1:14">
      <c r="A120" s="33" t="s">
        <v>105</v>
      </c>
      <c r="B120" s="4" t="s">
        <v>882</v>
      </c>
      <c r="C120" s="1" t="s">
        <v>2281</v>
      </c>
      <c r="D120" s="6" t="s">
        <v>2283</v>
      </c>
      <c r="E120" s="5" t="s">
        <v>2284</v>
      </c>
      <c r="F120" s="6" t="s">
        <v>754</v>
      </c>
      <c r="G120" s="6" t="s">
        <v>1144</v>
      </c>
      <c r="H120" s="64" t="e">
        <f>VLOOKUP(C120,价值因子_broad!A:V,13,FALSE)</f>
        <v>#N/A</v>
      </c>
      <c r="I120" s="36" t="e">
        <f>VLOOKUP(C120,价值_zz800!A:V,13,FALSE)</f>
        <v>#N/A</v>
      </c>
      <c r="J120" s="32" t="s">
        <v>1145</v>
      </c>
      <c r="K120" s="6"/>
      <c r="L120" s="6" t="s">
        <v>887</v>
      </c>
      <c r="M120" s="33"/>
      <c r="N120"/>
    </row>
    <row r="121" spans="1:14">
      <c r="A121" s="33" t="s">
        <v>105</v>
      </c>
      <c r="B121" s="4" t="s">
        <v>882</v>
      </c>
      <c r="C121" s="1" t="s">
        <v>2282</v>
      </c>
      <c r="D121" s="6" t="s">
        <v>2283</v>
      </c>
      <c r="E121" s="5" t="s">
        <v>2284</v>
      </c>
      <c r="F121" s="6" t="s">
        <v>754</v>
      </c>
      <c r="G121" s="6" t="s">
        <v>1144</v>
      </c>
      <c r="H121" s="64" t="e">
        <f>VLOOKUP(C121,价值因子_broad!A:V,13,FALSE)</f>
        <v>#N/A</v>
      </c>
      <c r="I121" s="36" t="e">
        <f>VLOOKUP(C121,价值_zz800!A:V,13,FALSE)</f>
        <v>#N/A</v>
      </c>
      <c r="J121" s="32" t="s">
        <v>1145</v>
      </c>
      <c r="K121" s="6"/>
      <c r="L121" s="6" t="s">
        <v>887</v>
      </c>
      <c r="M121" s="33"/>
      <c r="N121"/>
    </row>
    <row r="122" spans="1:14">
      <c r="A122" s="33" t="s">
        <v>105</v>
      </c>
      <c r="B122" s="4" t="s">
        <v>882</v>
      </c>
      <c r="C122" s="1" t="s">
        <v>2279</v>
      </c>
      <c r="D122" s="6" t="s">
        <v>2280</v>
      </c>
      <c r="E122" s="1" t="s">
        <v>2279</v>
      </c>
      <c r="F122" s="6" t="s">
        <v>754</v>
      </c>
      <c r="G122" s="6" t="s">
        <v>1144</v>
      </c>
      <c r="H122" s="64" t="e">
        <f>VLOOKUP(C122,价值因子_broad!A:V,13,FALSE)</f>
        <v>#N/A</v>
      </c>
      <c r="I122" s="36" t="e">
        <f>VLOOKUP(C122,价值_zz800!A:V,13,FALSE)</f>
        <v>#N/A</v>
      </c>
      <c r="J122" s="32" t="s">
        <v>1145</v>
      </c>
      <c r="K122" s="6"/>
      <c r="L122" s="6" t="s">
        <v>887</v>
      </c>
      <c r="M122" s="33"/>
      <c r="N122"/>
    </row>
    <row r="123" spans="1:14">
      <c r="A123" s="33" t="s">
        <v>881</v>
      </c>
      <c r="B123" s="4" t="s">
        <v>882</v>
      </c>
      <c r="C123" s="1" t="s">
        <v>883</v>
      </c>
      <c r="D123" s="2" t="s">
        <v>884</v>
      </c>
      <c r="E123" s="1" t="s">
        <v>885</v>
      </c>
      <c r="F123" s="6" t="s">
        <v>754</v>
      </c>
      <c r="G123" s="6" t="s">
        <v>1144</v>
      </c>
      <c r="H123" s="64">
        <f>VLOOKUP(C123,价值因子_broad!A:V,13,FALSE)</f>
        <v>4.5999999999999999E-2</v>
      </c>
      <c r="I123" s="36">
        <f>VLOOKUP(C123,价值_zz800!A:V,13,FALSE)</f>
        <v>3.7999999999999999E-2</v>
      </c>
      <c r="J123" s="32" t="s">
        <v>1145</v>
      </c>
      <c r="K123" s="6"/>
      <c r="L123" s="6" t="s">
        <v>887</v>
      </c>
      <c r="M123" s="33"/>
      <c r="N123"/>
    </row>
    <row r="124" spans="1:14" ht="38.25">
      <c r="A124" s="33" t="s">
        <v>881</v>
      </c>
      <c r="B124" s="4" t="s">
        <v>882</v>
      </c>
      <c r="C124" s="1" t="s">
        <v>1147</v>
      </c>
      <c r="D124" s="2" t="s">
        <v>1148</v>
      </c>
      <c r="E124" s="1" t="s">
        <v>1123</v>
      </c>
      <c r="F124" s="6" t="s">
        <v>754</v>
      </c>
      <c r="G124" s="6" t="s">
        <v>1149</v>
      </c>
      <c r="H124" s="64">
        <f>VLOOKUP(C124,价值因子_broad!A:V,13,FALSE)</f>
        <v>6.9000000000000006E-2</v>
      </c>
      <c r="I124" s="36">
        <f>VLOOKUP(C124,价值_zz800!A:V,13,FALSE)</f>
        <v>5.5E-2</v>
      </c>
      <c r="J124" s="32" t="s">
        <v>1145</v>
      </c>
      <c r="K124" s="6" t="s">
        <v>886</v>
      </c>
      <c r="L124" s="6" t="s">
        <v>887</v>
      </c>
      <c r="M124" s="33"/>
      <c r="N124"/>
    </row>
    <row r="125" spans="1:14" ht="54">
      <c r="A125" s="33" t="s">
        <v>897</v>
      </c>
      <c r="B125" s="4" t="s">
        <v>898</v>
      </c>
      <c r="C125" s="1" t="s">
        <v>899</v>
      </c>
      <c r="D125" s="2" t="s">
        <v>900</v>
      </c>
      <c r="E125" s="2" t="s">
        <v>532</v>
      </c>
      <c r="F125" s="6" t="s">
        <v>1156</v>
      </c>
      <c r="G125" s="6" t="s">
        <v>1146</v>
      </c>
      <c r="H125" s="64">
        <f>VLOOKUP(C125,价值因子_broad!A:V,13,FALSE)</f>
        <v>5.0999999999999997E-2</v>
      </c>
      <c r="I125" s="36">
        <f>VLOOKUP(C125,价值_zz800!A:V,13,FALSE)</f>
        <v>4.2999999999999997E-2</v>
      </c>
      <c r="J125" s="32" t="s">
        <v>1145</v>
      </c>
      <c r="K125" s="2" t="s">
        <v>1157</v>
      </c>
      <c r="L125" s="2"/>
      <c r="M125" s="33"/>
      <c r="N125"/>
    </row>
    <row r="126" spans="1:14" ht="54">
      <c r="A126" s="33" t="s">
        <v>901</v>
      </c>
      <c r="B126" s="4" t="s">
        <v>905</v>
      </c>
      <c r="C126" s="1" t="s">
        <v>906</v>
      </c>
      <c r="D126" s="2" t="s">
        <v>907</v>
      </c>
      <c r="E126" s="2" t="s">
        <v>532</v>
      </c>
      <c r="F126" s="6" t="s">
        <v>1156</v>
      </c>
      <c r="G126" s="6" t="s">
        <v>1146</v>
      </c>
      <c r="H126" s="64">
        <f>VLOOKUP(C126,价值因子_broad!A:V,13,FALSE)</f>
        <v>2.5999999999999999E-2</v>
      </c>
      <c r="I126" s="36">
        <f>VLOOKUP(C126,价值_zz800!A:V,13,FALSE)</f>
        <v>0.02</v>
      </c>
      <c r="J126" s="32" t="s">
        <v>1145</v>
      </c>
      <c r="K126" s="2" t="s">
        <v>1157</v>
      </c>
      <c r="L126" s="2"/>
      <c r="M126" s="33"/>
      <c r="N126"/>
    </row>
    <row r="127" spans="1:14">
      <c r="A127" s="33" t="s">
        <v>881</v>
      </c>
      <c r="B127" s="4" t="s">
        <v>882</v>
      </c>
      <c r="C127" s="1" t="s">
        <v>923</v>
      </c>
      <c r="D127" s="2" t="s">
        <v>924</v>
      </c>
      <c r="E127" s="2" t="s">
        <v>1160</v>
      </c>
      <c r="F127" s="6" t="s">
        <v>1156</v>
      </c>
      <c r="G127" s="6" t="s">
        <v>1146</v>
      </c>
      <c r="H127" s="64">
        <f>VLOOKUP(C127,价值因子_broad!A:V,13,FALSE)</f>
        <v>3.5000000000000003E-2</v>
      </c>
      <c r="I127" s="36">
        <f>VLOOKUP(C127,价值_zz800!A:V,13,FALSE)</f>
        <v>0.03</v>
      </c>
      <c r="J127" s="32" t="s">
        <v>1145</v>
      </c>
      <c r="K127" s="2"/>
      <c r="L127" s="2"/>
      <c r="M127" s="33"/>
      <c r="N127"/>
    </row>
    <row r="128" spans="1:14">
      <c r="A128" s="33" t="s">
        <v>888</v>
      </c>
      <c r="B128" s="4" t="s">
        <v>889</v>
      </c>
      <c r="C128" s="1" t="s">
        <v>928</v>
      </c>
      <c r="D128" s="2" t="s">
        <v>929</v>
      </c>
      <c r="E128" s="2"/>
      <c r="F128" s="6" t="s">
        <v>1156</v>
      </c>
      <c r="G128" s="6" t="s">
        <v>1146</v>
      </c>
      <c r="H128" s="64">
        <f>VLOOKUP(C128,价值因子_broad!A:V,13,FALSE)</f>
        <v>2.9000000000000001E-2</v>
      </c>
      <c r="I128" s="36">
        <f>VLOOKUP(C128,价值_zz800!A:V,13,FALSE)</f>
        <v>2.3E-2</v>
      </c>
      <c r="J128" s="32" t="s">
        <v>1145</v>
      </c>
      <c r="K128" s="2"/>
      <c r="L128" s="2"/>
      <c r="M128" s="33"/>
      <c r="N128"/>
    </row>
    <row r="129" spans="1:14" ht="38.25">
      <c r="A129" s="33" t="s">
        <v>881</v>
      </c>
      <c r="B129" s="4" t="s">
        <v>882</v>
      </c>
      <c r="C129" s="1" t="s">
        <v>930</v>
      </c>
      <c r="D129" s="2" t="s">
        <v>931</v>
      </c>
      <c r="E129" s="1" t="s">
        <v>1154</v>
      </c>
      <c r="F129" s="6" t="s">
        <v>754</v>
      </c>
      <c r="G129" s="6" t="s">
        <v>1146</v>
      </c>
      <c r="H129" s="64">
        <f>VLOOKUP(C129,价值因子_broad!A:V,13,FALSE)</f>
        <v>2.4E-2</v>
      </c>
      <c r="I129" s="36">
        <f>VLOOKUP(C129,价值_zz800!A:V,13,FALSE)</f>
        <v>2.1000000000000001E-2</v>
      </c>
      <c r="J129" s="32" t="s">
        <v>1145</v>
      </c>
      <c r="K129" s="6" t="s">
        <v>932</v>
      </c>
      <c r="L129" s="6" t="s">
        <v>933</v>
      </c>
      <c r="M129" s="33"/>
      <c r="N129"/>
    </row>
    <row r="130" spans="1:14" ht="38.25">
      <c r="A130" s="33" t="s">
        <v>881</v>
      </c>
      <c r="B130" s="4" t="s">
        <v>882</v>
      </c>
      <c r="C130" s="1" t="s">
        <v>1138</v>
      </c>
      <c r="D130" s="2" t="s">
        <v>1151</v>
      </c>
      <c r="E130" s="1" t="s">
        <v>1138</v>
      </c>
      <c r="F130" s="6" t="s">
        <v>754</v>
      </c>
      <c r="G130" s="6" t="s">
        <v>1149</v>
      </c>
      <c r="H130" s="64">
        <f>VLOOKUP(C130,价值因子_broad!A:V,13,FALSE)</f>
        <v>5.2999999999999999E-2</v>
      </c>
      <c r="I130" s="36">
        <f>VLOOKUP(C130,价值_zz800!A:V,13,FALSE)</f>
        <v>4.2999999999999997E-2</v>
      </c>
      <c r="J130" s="32" t="s">
        <v>1145</v>
      </c>
      <c r="K130" s="6" t="s">
        <v>932</v>
      </c>
      <c r="L130" s="6" t="s">
        <v>933</v>
      </c>
      <c r="M130" s="33"/>
      <c r="N130"/>
    </row>
    <row r="131" spans="1:14" ht="38.25">
      <c r="A131" s="33" t="s">
        <v>934</v>
      </c>
      <c r="B131" s="4" t="s">
        <v>935</v>
      </c>
      <c r="C131" s="1" t="s">
        <v>936</v>
      </c>
      <c r="D131" s="2" t="s">
        <v>937</v>
      </c>
      <c r="E131" s="1" t="s">
        <v>1154</v>
      </c>
      <c r="F131" s="6" t="s">
        <v>939</v>
      </c>
      <c r="G131" s="6" t="s">
        <v>1146</v>
      </c>
      <c r="H131" s="64">
        <f>VLOOKUP(C131,价值因子_broad!A:V,13,FALSE)</f>
        <v>2.5999999999999999E-2</v>
      </c>
      <c r="I131" s="36">
        <f>VLOOKUP(C131,价值_zz800!A:V,13,FALSE)</f>
        <v>2.3E-2</v>
      </c>
      <c r="J131" s="32" t="s">
        <v>1145</v>
      </c>
      <c r="K131" s="6" t="s">
        <v>941</v>
      </c>
      <c r="L131" s="6" t="s">
        <v>942</v>
      </c>
      <c r="M131" s="33"/>
      <c r="N131"/>
    </row>
    <row r="132" spans="1:14" ht="38.25">
      <c r="A132" s="33" t="s">
        <v>908</v>
      </c>
      <c r="B132" s="4" t="s">
        <v>943</v>
      </c>
      <c r="C132" s="1" t="s">
        <v>944</v>
      </c>
      <c r="D132" s="2" t="s">
        <v>945</v>
      </c>
      <c r="E132" s="1" t="s">
        <v>944</v>
      </c>
      <c r="F132" s="6" t="s">
        <v>939</v>
      </c>
      <c r="G132" s="6" t="s">
        <v>1146</v>
      </c>
      <c r="H132" s="64">
        <f>VLOOKUP(C132,价值因子_broad!A:V,13,FALSE)</f>
        <v>2.9000000000000001E-2</v>
      </c>
      <c r="I132" s="36">
        <f>VLOOKUP(C132,价值_zz800!A:V,13,FALSE)</f>
        <v>2.3E-2</v>
      </c>
      <c r="J132" s="32" t="s">
        <v>1145</v>
      </c>
      <c r="K132" s="6" t="s">
        <v>946</v>
      </c>
      <c r="L132" s="6" t="s">
        <v>947</v>
      </c>
      <c r="M132" s="33"/>
      <c r="N132"/>
    </row>
    <row r="133" spans="1:14" ht="38.25">
      <c r="A133" s="33" t="s">
        <v>908</v>
      </c>
      <c r="B133" s="4" t="s">
        <v>943</v>
      </c>
      <c r="C133" s="1" t="s">
        <v>1141</v>
      </c>
      <c r="D133" s="2" t="s">
        <v>1150</v>
      </c>
      <c r="E133" s="1" t="s">
        <v>1141</v>
      </c>
      <c r="F133" s="6" t="s">
        <v>939</v>
      </c>
      <c r="G133" s="6" t="s">
        <v>1149</v>
      </c>
      <c r="H133" s="64">
        <f>VLOOKUP(C133,价值因子_broad!A:V,13,FALSE)</f>
        <v>0.06</v>
      </c>
      <c r="I133" s="36">
        <f>VLOOKUP(C133,价值_zz800!A:V,13,FALSE)</f>
        <v>4.7E-2</v>
      </c>
      <c r="J133" s="32" t="s">
        <v>1145</v>
      </c>
      <c r="K133" s="6" t="s">
        <v>946</v>
      </c>
      <c r="L133" s="6" t="s">
        <v>947</v>
      </c>
      <c r="M133" s="33"/>
      <c r="N133"/>
    </row>
    <row r="134" spans="1:14">
      <c r="A134" s="33" t="s">
        <v>881</v>
      </c>
      <c r="B134" s="4" t="s">
        <v>882</v>
      </c>
      <c r="C134" s="1" t="s">
        <v>948</v>
      </c>
      <c r="D134" s="2" t="s">
        <v>949</v>
      </c>
      <c r="E134" s="2" t="s">
        <v>1155</v>
      </c>
      <c r="F134" s="6" t="s">
        <v>1156</v>
      </c>
      <c r="G134" s="6" t="s">
        <v>1146</v>
      </c>
      <c r="H134" s="64">
        <f>VLOOKUP(C134,价值因子_broad!A:V,13,FALSE)</f>
        <v>2.7E-2</v>
      </c>
      <c r="I134" s="36">
        <f>VLOOKUP(C134,价值_zz800!A:V,13,FALSE)</f>
        <v>2.1000000000000001E-2</v>
      </c>
      <c r="J134" s="32" t="s">
        <v>1145</v>
      </c>
      <c r="K134" s="2"/>
      <c r="L134" s="2"/>
      <c r="M134" s="33"/>
      <c r="N134"/>
    </row>
    <row r="135" spans="1:14">
      <c r="A135" s="33" t="s">
        <v>881</v>
      </c>
      <c r="B135" s="4" t="s">
        <v>882</v>
      </c>
      <c r="C135" s="1" t="s">
        <v>950</v>
      </c>
      <c r="D135" s="2" t="s">
        <v>951</v>
      </c>
      <c r="E135" s="1" t="s">
        <v>952</v>
      </c>
      <c r="F135" s="6" t="s">
        <v>762</v>
      </c>
      <c r="G135" s="6" t="s">
        <v>1144</v>
      </c>
      <c r="H135" s="64">
        <f>VLOOKUP(C135,价值因子_broad!A:V,13,FALSE)</f>
        <v>3.9E-2</v>
      </c>
      <c r="I135" s="36">
        <f>VLOOKUP(C135,价值_zz800!A:V,13,FALSE)</f>
        <v>3.2000000000000001E-2</v>
      </c>
      <c r="J135" s="32" t="s">
        <v>1145</v>
      </c>
      <c r="K135" s="2"/>
      <c r="L135" s="2"/>
      <c r="M135" s="33"/>
      <c r="N135"/>
    </row>
    <row r="136" spans="1:14" ht="99.75">
      <c r="A136" s="33" t="s">
        <v>105</v>
      </c>
      <c r="B136" s="4" t="s">
        <v>875</v>
      </c>
      <c r="C136" s="1" t="s">
        <v>876</v>
      </c>
      <c r="D136" s="2" t="s">
        <v>877</v>
      </c>
      <c r="E136" s="6" t="s">
        <v>876</v>
      </c>
      <c r="F136" s="6" t="s">
        <v>655</v>
      </c>
      <c r="G136" s="6" t="s">
        <v>1146</v>
      </c>
      <c r="H136" s="64">
        <f>VLOOKUP(C136,价值因子_broad!A:V,13,FALSE)</f>
        <v>2.9000000000000001E-2</v>
      </c>
      <c r="I136" s="36">
        <f>VLOOKUP(C136,价值_zz800!A:V,13,FALSE)</f>
        <v>3.3000000000000002E-2</v>
      </c>
      <c r="J136" s="2" t="s">
        <v>1145</v>
      </c>
      <c r="K136" s="2"/>
      <c r="L136" s="2"/>
      <c r="M136" s="33"/>
      <c r="N136"/>
    </row>
    <row r="137" spans="1:14">
      <c r="A137" s="33" t="s">
        <v>881</v>
      </c>
      <c r="B137" s="4" t="s">
        <v>892</v>
      </c>
      <c r="C137" s="1" t="s">
        <v>893</v>
      </c>
      <c r="D137" s="2" t="s">
        <v>894</v>
      </c>
      <c r="E137" s="1" t="s">
        <v>893</v>
      </c>
      <c r="F137" s="6" t="s">
        <v>762</v>
      </c>
      <c r="G137" s="6" t="s">
        <v>1146</v>
      </c>
      <c r="H137" s="64">
        <f>VLOOKUP(C137,价值因子_broad!A:V,13,FALSE)</f>
        <v>3.6999999999999998E-2</v>
      </c>
      <c r="I137" s="36">
        <f>VLOOKUP(C137,价值_zz800!A:V,13,FALSE)</f>
        <v>3.7999999999999999E-2</v>
      </c>
      <c r="J137" s="2" t="s">
        <v>1145</v>
      </c>
      <c r="K137" s="2"/>
      <c r="L137" s="2"/>
      <c r="M137" s="33"/>
      <c r="N137"/>
    </row>
    <row r="138" spans="1:14">
      <c r="A138" s="33" t="s">
        <v>888</v>
      </c>
      <c r="B138" s="4" t="s">
        <v>875</v>
      </c>
      <c r="C138" s="1" t="s">
        <v>895</v>
      </c>
      <c r="D138" s="2" t="s">
        <v>896</v>
      </c>
      <c r="E138" s="2" t="s">
        <v>1152</v>
      </c>
      <c r="F138" s="6" t="s">
        <v>1156</v>
      </c>
      <c r="G138" s="6" t="s">
        <v>1146</v>
      </c>
      <c r="H138" s="64">
        <f>VLOOKUP(C138,价值因子_broad!A:V,13,FALSE)</f>
        <v>3.1E-2</v>
      </c>
      <c r="I138" s="36">
        <f>VLOOKUP(C138,价值_zz800!A:V,13,FALSE)</f>
        <v>0.03</v>
      </c>
      <c r="J138" s="32" t="s">
        <v>1145</v>
      </c>
      <c r="K138" s="2"/>
      <c r="L138" s="2"/>
      <c r="M138" s="33"/>
      <c r="N138"/>
    </row>
    <row r="139" spans="1:14" ht="28.5">
      <c r="A139" s="33" t="s">
        <v>908</v>
      </c>
      <c r="B139" s="4" t="s">
        <v>909</v>
      </c>
      <c r="C139" s="1" t="s">
        <v>910</v>
      </c>
      <c r="D139" s="2" t="s">
        <v>911</v>
      </c>
      <c r="E139" s="1" t="s">
        <v>910</v>
      </c>
      <c r="F139" s="6" t="s">
        <v>912</v>
      </c>
      <c r="G139" s="6" t="s">
        <v>1146</v>
      </c>
      <c r="H139" s="64">
        <f>VLOOKUP(C139,价值因子_broad!A:V,13,FALSE)</f>
        <v>4.2000000000000003E-2</v>
      </c>
      <c r="I139" s="36">
        <f>VLOOKUP(C139,价值_zz800!A:V,13,FALSE)</f>
        <v>0.04</v>
      </c>
      <c r="J139" s="32" t="s">
        <v>1145</v>
      </c>
      <c r="K139" s="2"/>
      <c r="L139" s="2"/>
      <c r="M139" s="33"/>
      <c r="N139"/>
    </row>
    <row r="140" spans="1:14" ht="54">
      <c r="A140" s="33" t="s">
        <v>901</v>
      </c>
      <c r="B140" s="4" t="s">
        <v>902</v>
      </c>
      <c r="C140" s="1" t="s">
        <v>903</v>
      </c>
      <c r="D140" s="2" t="s">
        <v>904</v>
      </c>
      <c r="E140" s="2" t="s">
        <v>532</v>
      </c>
      <c r="F140" s="6" t="s">
        <v>1156</v>
      </c>
      <c r="G140" s="6" t="s">
        <v>1146</v>
      </c>
      <c r="H140" s="64">
        <f>VLOOKUP(C140,价值因子_broad!A:V,13,FALSE)</f>
        <v>5.8000000000000003E-2</v>
      </c>
      <c r="I140" s="36">
        <f>VLOOKUP(C140,价值_zz800!A:V,13,FALSE)</f>
        <v>5.5E-2</v>
      </c>
      <c r="J140" s="32" t="s">
        <v>1145</v>
      </c>
      <c r="K140" s="2" t="s">
        <v>1157</v>
      </c>
      <c r="L140" s="2"/>
      <c r="M140" s="33"/>
      <c r="N140"/>
    </row>
    <row r="141" spans="1:14">
      <c r="A141" s="33" t="s">
        <v>888</v>
      </c>
      <c r="B141" s="4" t="s">
        <v>913</v>
      </c>
      <c r="C141" s="1" t="s">
        <v>914</v>
      </c>
      <c r="D141" s="2" t="s">
        <v>915</v>
      </c>
      <c r="E141" s="2" t="s">
        <v>1158</v>
      </c>
      <c r="F141" s="6" t="s">
        <v>1156</v>
      </c>
      <c r="G141" s="6" t="s">
        <v>1146</v>
      </c>
      <c r="H141" s="64">
        <f>VLOOKUP(C141,价值因子_broad!A:V,13,FALSE)</f>
        <v>5.2999999999999999E-2</v>
      </c>
      <c r="I141" s="36">
        <f>VLOOKUP(C141,价值_zz800!A:V,13,FALSE)</f>
        <v>5.0999999999999997E-2</v>
      </c>
      <c r="J141" s="32" t="s">
        <v>1145</v>
      </c>
      <c r="K141" s="2" t="s">
        <v>1159</v>
      </c>
      <c r="L141" s="2"/>
      <c r="M141" s="33"/>
      <c r="N141"/>
    </row>
    <row r="142" spans="1:14">
      <c r="A142" s="33" t="s">
        <v>888</v>
      </c>
      <c r="B142" s="4" t="s">
        <v>913</v>
      </c>
      <c r="C142" s="1" t="s">
        <v>916</v>
      </c>
      <c r="D142" s="2" t="s">
        <v>917</v>
      </c>
      <c r="E142" s="1" t="s">
        <v>916</v>
      </c>
      <c r="F142" s="6" t="s">
        <v>912</v>
      </c>
      <c r="G142" s="6" t="s">
        <v>1146</v>
      </c>
      <c r="H142" s="64">
        <f>VLOOKUP(C142,价值因子_broad!A:V,13,FALSE)</f>
        <v>5.8000000000000003E-2</v>
      </c>
      <c r="I142" s="36">
        <f>VLOOKUP(C142,价值_zz800!A:V,13,FALSE)</f>
        <v>5.8000000000000003E-2</v>
      </c>
      <c r="J142" s="32" t="s">
        <v>1145</v>
      </c>
      <c r="K142" s="2"/>
      <c r="L142" s="2"/>
      <c r="M142" s="33"/>
      <c r="N142"/>
    </row>
    <row r="143" spans="1:14">
      <c r="A143" s="33" t="s">
        <v>881</v>
      </c>
      <c r="B143" s="4" t="s">
        <v>918</v>
      </c>
      <c r="C143" s="1" t="s">
        <v>919</v>
      </c>
      <c r="D143" s="2" t="s">
        <v>920</v>
      </c>
      <c r="E143" s="1" t="s">
        <v>919</v>
      </c>
      <c r="F143" s="6" t="s">
        <v>912</v>
      </c>
      <c r="G143" s="6" t="s">
        <v>1146</v>
      </c>
      <c r="H143" s="64">
        <f>VLOOKUP(C143,价值因子_broad!A:V,13,FALSE)</f>
        <v>5.8000000000000003E-2</v>
      </c>
      <c r="I143" s="36">
        <f>VLOOKUP(C143,价值_zz800!A:V,13,FALSE)</f>
        <v>5.7000000000000002E-2</v>
      </c>
      <c r="J143" s="32" t="s">
        <v>1145</v>
      </c>
      <c r="K143" s="2"/>
      <c r="L143" s="2"/>
      <c r="M143" s="33"/>
      <c r="N143"/>
    </row>
    <row r="144" spans="1:14">
      <c r="A144" s="33" t="s">
        <v>881</v>
      </c>
      <c r="B144" s="4" t="s">
        <v>918</v>
      </c>
      <c r="C144" s="1" t="s">
        <v>921</v>
      </c>
      <c r="D144" s="2" t="s">
        <v>922</v>
      </c>
      <c r="E144" s="2" t="s">
        <v>1153</v>
      </c>
      <c r="F144" s="6" t="s">
        <v>1156</v>
      </c>
      <c r="G144" s="6" t="s">
        <v>1146</v>
      </c>
      <c r="H144" s="64">
        <f>VLOOKUP(C144,价值因子_broad!A:V,13,FALSE)</f>
        <v>5.0999999999999997E-2</v>
      </c>
      <c r="I144" s="36">
        <f>VLOOKUP(C144,价值_zz800!A:V,13,FALSE)</f>
        <v>0.05</v>
      </c>
      <c r="J144" s="32" t="s">
        <v>1145</v>
      </c>
      <c r="K144" s="2"/>
      <c r="L144" s="2"/>
      <c r="M144" s="33"/>
      <c r="N144"/>
    </row>
    <row r="145" spans="1:14">
      <c r="A145" s="33" t="s">
        <v>881</v>
      </c>
      <c r="B145" s="4" t="s">
        <v>918</v>
      </c>
      <c r="C145" s="1" t="s">
        <v>925</v>
      </c>
      <c r="D145" s="2" t="s">
        <v>926</v>
      </c>
      <c r="E145" s="1" t="s">
        <v>927</v>
      </c>
      <c r="F145" s="6" t="s">
        <v>762</v>
      </c>
      <c r="G145" s="6" t="s">
        <v>1146</v>
      </c>
      <c r="H145" s="64">
        <f>VLOOKUP(C145,价值因子_broad!A:V,13,FALSE)</f>
        <v>5.8000000000000003E-2</v>
      </c>
      <c r="I145" s="36">
        <f>VLOOKUP(C145,价值_zz800!A:V,13,FALSE)</f>
        <v>5.3999999999999999E-2</v>
      </c>
      <c r="J145" s="32" t="s">
        <v>1145</v>
      </c>
      <c r="K145" s="2"/>
      <c r="L145" s="2"/>
      <c r="M145" s="33"/>
      <c r="N145"/>
    </row>
    <row r="146" spans="1:14" ht="51">
      <c r="A146" s="3" t="s">
        <v>106</v>
      </c>
      <c r="B146" s="8" t="s">
        <v>657</v>
      </c>
      <c r="C146" s="1" t="s">
        <v>664</v>
      </c>
      <c r="D146" s="6" t="s">
        <v>665</v>
      </c>
      <c r="E146" s="2" t="s">
        <v>664</v>
      </c>
      <c r="F146" s="6" t="s">
        <v>655</v>
      </c>
      <c r="G146" s="2"/>
      <c r="H146" s="2"/>
      <c r="I146" s="2"/>
      <c r="J146" s="2"/>
      <c r="K146" s="2"/>
      <c r="L146" s="2"/>
      <c r="M146" s="3"/>
      <c r="N146"/>
    </row>
    <row r="147" spans="1:14" ht="25.5">
      <c r="A147" s="3" t="s">
        <v>106</v>
      </c>
      <c r="B147" s="8" t="s">
        <v>666</v>
      </c>
      <c r="C147" s="1" t="s">
        <v>667</v>
      </c>
      <c r="D147" s="6" t="s">
        <v>668</v>
      </c>
      <c r="E147" s="2" t="s">
        <v>667</v>
      </c>
      <c r="F147" s="6" t="s">
        <v>655</v>
      </c>
      <c r="G147" s="2"/>
      <c r="H147" s="2"/>
      <c r="I147" s="2"/>
      <c r="J147" s="2"/>
      <c r="K147" s="2"/>
      <c r="L147" s="2"/>
      <c r="M147" s="3"/>
      <c r="N147"/>
    </row>
    <row r="148" spans="1:14">
      <c r="A148" s="3" t="s">
        <v>106</v>
      </c>
      <c r="B148" s="8" t="s">
        <v>657</v>
      </c>
      <c r="C148" s="1" t="s">
        <v>658</v>
      </c>
      <c r="D148" s="6" t="s">
        <v>659</v>
      </c>
      <c r="E148" s="2" t="s">
        <v>658</v>
      </c>
      <c r="F148" s="6" t="s">
        <v>655</v>
      </c>
      <c r="G148" s="2"/>
      <c r="H148" s="2"/>
      <c r="I148" s="2"/>
      <c r="J148" s="2"/>
      <c r="K148" s="2"/>
      <c r="L148" s="2"/>
      <c r="M148" s="3"/>
      <c r="N148"/>
    </row>
    <row r="149" spans="1:14">
      <c r="A149" s="3" t="s">
        <v>106</v>
      </c>
      <c r="B149" s="4" t="s">
        <v>107</v>
      </c>
      <c r="C149" s="1" t="s">
        <v>108</v>
      </c>
      <c r="D149" s="2" t="s">
        <v>109</v>
      </c>
      <c r="E149" s="1" t="s">
        <v>108</v>
      </c>
      <c r="F149" s="6" t="s">
        <v>655</v>
      </c>
      <c r="G149" s="2"/>
      <c r="H149" s="2"/>
      <c r="I149" s="2"/>
      <c r="J149" s="2"/>
      <c r="K149" s="2"/>
      <c r="L149" s="2"/>
      <c r="M149" s="3"/>
      <c r="N149"/>
    </row>
    <row r="150" spans="1:14" ht="28.5">
      <c r="A150" s="3" t="s">
        <v>106</v>
      </c>
      <c r="B150" s="4" t="s">
        <v>107</v>
      </c>
      <c r="C150" s="1" t="s">
        <v>110</v>
      </c>
      <c r="D150" s="2" t="s">
        <v>111</v>
      </c>
      <c r="E150" s="2"/>
      <c r="F150" s="2"/>
      <c r="G150" s="2"/>
      <c r="H150" s="2"/>
      <c r="I150" s="2"/>
      <c r="J150" s="2"/>
      <c r="K150" s="2"/>
      <c r="L150" s="2"/>
      <c r="M150" s="3"/>
      <c r="N150"/>
    </row>
    <row r="151" spans="1:14">
      <c r="A151" s="3" t="s">
        <v>106</v>
      </c>
      <c r="B151" s="4" t="s">
        <v>107</v>
      </c>
      <c r="C151" s="1" t="s">
        <v>112</v>
      </c>
      <c r="D151" s="2" t="s">
        <v>113</v>
      </c>
      <c r="E151" s="2"/>
      <c r="F151" s="2"/>
      <c r="G151" s="2"/>
      <c r="H151" s="2"/>
      <c r="I151" s="2"/>
      <c r="J151" s="2"/>
      <c r="K151" s="2"/>
      <c r="L151" s="2"/>
      <c r="M151" s="3"/>
      <c r="N151"/>
    </row>
    <row r="152" spans="1:14">
      <c r="A152" s="3" t="s">
        <v>106</v>
      </c>
      <c r="B152" s="4" t="s">
        <v>107</v>
      </c>
      <c r="C152" s="1" t="s">
        <v>114</v>
      </c>
      <c r="D152" s="2" t="s">
        <v>115</v>
      </c>
      <c r="E152" s="2"/>
      <c r="F152" s="2"/>
      <c r="G152" s="2"/>
      <c r="H152" s="2"/>
      <c r="I152" s="2"/>
      <c r="J152" s="2"/>
      <c r="K152" s="2"/>
      <c r="L152" s="2"/>
      <c r="M152" s="3"/>
      <c r="N152"/>
    </row>
    <row r="153" spans="1:14">
      <c r="A153" s="3" t="s">
        <v>106</v>
      </c>
      <c r="B153" s="4" t="s">
        <v>107</v>
      </c>
      <c r="C153" s="1" t="s">
        <v>116</v>
      </c>
      <c r="D153" s="2" t="s">
        <v>117</v>
      </c>
      <c r="E153" s="2"/>
      <c r="F153" s="2"/>
      <c r="G153" s="2"/>
      <c r="H153" s="2"/>
      <c r="I153" s="2"/>
      <c r="J153" s="2"/>
      <c r="K153" s="2"/>
      <c r="L153" s="2"/>
      <c r="M153" s="3"/>
      <c r="N153"/>
    </row>
    <row r="154" spans="1:14">
      <c r="A154" s="3" t="s">
        <v>106</v>
      </c>
      <c r="B154" s="4" t="s">
        <v>107</v>
      </c>
      <c r="C154" s="1" t="s">
        <v>118</v>
      </c>
      <c r="D154" s="2" t="s">
        <v>119</v>
      </c>
      <c r="E154" s="2"/>
      <c r="F154" s="2"/>
      <c r="G154" s="2"/>
      <c r="H154" s="2"/>
      <c r="I154" s="2"/>
      <c r="J154" s="2"/>
      <c r="K154" s="2"/>
      <c r="L154" s="2"/>
      <c r="M154" s="3"/>
      <c r="N154"/>
    </row>
    <row r="155" spans="1:14">
      <c r="A155" s="3" t="s">
        <v>106</v>
      </c>
      <c r="B155" s="4" t="s">
        <v>107</v>
      </c>
      <c r="C155" s="1" t="s">
        <v>120</v>
      </c>
      <c r="D155" s="2" t="s">
        <v>121</v>
      </c>
      <c r="E155" s="2"/>
      <c r="F155" s="2"/>
      <c r="G155" s="2"/>
      <c r="H155" s="2"/>
      <c r="I155" s="2"/>
      <c r="J155" s="2"/>
      <c r="K155" s="2"/>
      <c r="L155" s="2"/>
      <c r="M155" s="3"/>
      <c r="N155"/>
    </row>
    <row r="156" spans="1:14">
      <c r="A156" s="3" t="s">
        <v>106</v>
      </c>
      <c r="B156" s="4" t="s">
        <v>107</v>
      </c>
      <c r="C156" s="1" t="s">
        <v>122</v>
      </c>
      <c r="D156" s="2" t="s">
        <v>123</v>
      </c>
      <c r="E156" s="2"/>
      <c r="F156" s="2"/>
      <c r="G156" s="2"/>
      <c r="H156" s="2"/>
      <c r="I156" s="2"/>
      <c r="J156" s="2"/>
      <c r="K156" s="2"/>
      <c r="L156" s="2"/>
      <c r="M156" s="3"/>
      <c r="N156"/>
    </row>
    <row r="157" spans="1:14">
      <c r="A157" s="3" t="s">
        <v>106</v>
      </c>
      <c r="B157" s="4" t="s">
        <v>107</v>
      </c>
      <c r="C157" s="1" t="s">
        <v>124</v>
      </c>
      <c r="D157" s="2" t="s">
        <v>125</v>
      </c>
      <c r="E157" s="2"/>
      <c r="F157" s="2"/>
      <c r="G157" s="2"/>
      <c r="H157" s="2"/>
      <c r="I157" s="2"/>
      <c r="J157" s="2"/>
      <c r="K157" s="2"/>
      <c r="L157" s="2"/>
      <c r="M157" s="3"/>
      <c r="N157"/>
    </row>
    <row r="158" spans="1:14">
      <c r="A158" s="3" t="s">
        <v>106</v>
      </c>
      <c r="B158" s="4" t="s">
        <v>107</v>
      </c>
      <c r="C158" s="1" t="s">
        <v>126</v>
      </c>
      <c r="D158" s="2" t="s">
        <v>127</v>
      </c>
      <c r="E158" s="2"/>
      <c r="F158" s="2"/>
      <c r="G158" s="2"/>
      <c r="H158" s="2"/>
      <c r="I158" s="2"/>
      <c r="J158" s="2"/>
      <c r="K158" s="2"/>
      <c r="L158" s="2"/>
      <c r="M158" s="3"/>
      <c r="N158"/>
    </row>
    <row r="159" spans="1:14">
      <c r="A159" s="3" t="s">
        <v>106</v>
      </c>
      <c r="B159" s="4" t="s">
        <v>107</v>
      </c>
      <c r="C159" s="1" t="s">
        <v>128</v>
      </c>
      <c r="D159" s="2" t="s">
        <v>129</v>
      </c>
      <c r="E159" s="2"/>
      <c r="F159" s="2"/>
      <c r="G159" s="2"/>
      <c r="H159" s="2"/>
      <c r="I159" s="2"/>
      <c r="J159" s="2"/>
      <c r="K159" s="2"/>
      <c r="L159" s="2"/>
      <c r="M159" s="3"/>
      <c r="N159"/>
    </row>
    <row r="160" spans="1:14" ht="42.75">
      <c r="A160" s="3" t="s">
        <v>106</v>
      </c>
      <c r="B160" s="4" t="s">
        <v>107</v>
      </c>
      <c r="C160" s="1" t="s">
        <v>130</v>
      </c>
      <c r="D160" s="2" t="s">
        <v>131</v>
      </c>
      <c r="E160" s="2"/>
      <c r="F160" s="2"/>
      <c r="G160" s="2"/>
      <c r="H160" s="2"/>
      <c r="I160" s="2"/>
      <c r="J160" s="2"/>
      <c r="K160" s="2"/>
      <c r="L160" s="2"/>
      <c r="M160" s="3"/>
      <c r="N160"/>
    </row>
    <row r="161" spans="1:14">
      <c r="A161" s="3" t="s">
        <v>106</v>
      </c>
      <c r="B161" s="4" t="s">
        <v>107</v>
      </c>
      <c r="C161" s="1" t="s">
        <v>132</v>
      </c>
      <c r="D161" s="2" t="s">
        <v>133</v>
      </c>
      <c r="E161" s="1" t="s">
        <v>132</v>
      </c>
      <c r="F161" s="6" t="s">
        <v>655</v>
      </c>
      <c r="G161" s="2"/>
      <c r="H161" s="2"/>
      <c r="I161" s="2"/>
      <c r="J161" s="2"/>
      <c r="K161" s="2"/>
      <c r="L161" s="2"/>
      <c r="M161" s="3"/>
      <c r="N161"/>
    </row>
    <row r="162" spans="1:14">
      <c r="A162" s="3" t="s">
        <v>106</v>
      </c>
      <c r="B162" s="4" t="s">
        <v>107</v>
      </c>
      <c r="C162" s="1" t="s">
        <v>134</v>
      </c>
      <c r="D162" s="2" t="s">
        <v>135</v>
      </c>
      <c r="E162" s="2"/>
      <c r="F162" s="2"/>
      <c r="G162" s="2"/>
      <c r="H162" s="2"/>
      <c r="I162" s="2"/>
      <c r="J162" s="2"/>
      <c r="K162" s="2"/>
      <c r="L162" s="2"/>
      <c r="M162" s="3"/>
      <c r="N162"/>
    </row>
    <row r="163" spans="1:14">
      <c r="A163" s="3" t="s">
        <v>106</v>
      </c>
      <c r="B163" s="4" t="s">
        <v>107</v>
      </c>
      <c r="C163" s="1" t="s">
        <v>136</v>
      </c>
      <c r="D163" s="2" t="s">
        <v>137</v>
      </c>
      <c r="E163" s="2"/>
      <c r="F163" s="2"/>
      <c r="G163" s="2"/>
      <c r="H163" s="2"/>
      <c r="I163" s="2"/>
      <c r="J163" s="2"/>
      <c r="K163" s="2"/>
      <c r="L163" s="2"/>
      <c r="M163" s="3"/>
      <c r="N163"/>
    </row>
    <row r="164" spans="1:14">
      <c r="A164" s="3" t="s">
        <v>106</v>
      </c>
      <c r="B164" s="4" t="s">
        <v>107</v>
      </c>
      <c r="C164" s="1" t="s">
        <v>138</v>
      </c>
      <c r="D164" s="2" t="s">
        <v>139</v>
      </c>
      <c r="E164" s="2"/>
      <c r="F164" s="2"/>
      <c r="G164" s="2"/>
      <c r="H164" s="2"/>
      <c r="I164" s="2"/>
      <c r="J164" s="2"/>
      <c r="K164" s="2"/>
      <c r="L164" s="2"/>
      <c r="M164" s="3"/>
      <c r="N164"/>
    </row>
    <row r="165" spans="1:14">
      <c r="A165" s="3" t="s">
        <v>106</v>
      </c>
      <c r="B165" s="4" t="s">
        <v>107</v>
      </c>
      <c r="C165" s="1" t="s">
        <v>140</v>
      </c>
      <c r="D165" s="2" t="s">
        <v>141</v>
      </c>
      <c r="E165" s="2"/>
      <c r="F165" s="2"/>
      <c r="G165" s="2"/>
      <c r="H165" s="2"/>
      <c r="I165" s="2"/>
      <c r="J165" s="2"/>
      <c r="K165" s="2"/>
      <c r="L165" s="2"/>
      <c r="M165" s="3"/>
      <c r="N165"/>
    </row>
    <row r="166" spans="1:14">
      <c r="A166" s="3" t="s">
        <v>106</v>
      </c>
      <c r="B166" s="4" t="s">
        <v>107</v>
      </c>
      <c r="C166" s="1" t="s">
        <v>142</v>
      </c>
      <c r="D166" s="2" t="s">
        <v>143</v>
      </c>
      <c r="E166" s="2"/>
      <c r="F166" s="2"/>
      <c r="G166" s="2"/>
      <c r="H166" s="2"/>
      <c r="I166" s="2"/>
      <c r="J166" s="2"/>
      <c r="K166" s="2"/>
      <c r="L166" s="2"/>
      <c r="M166" s="3"/>
      <c r="N166"/>
    </row>
    <row r="167" spans="1:14">
      <c r="A167" s="3" t="s">
        <v>106</v>
      </c>
      <c r="B167" s="4" t="s">
        <v>107</v>
      </c>
      <c r="C167" s="1" t="s">
        <v>149</v>
      </c>
      <c r="D167" s="2" t="s">
        <v>150</v>
      </c>
      <c r="E167" s="2"/>
      <c r="F167" s="2"/>
      <c r="G167" s="2"/>
      <c r="H167" s="2"/>
      <c r="I167" s="2"/>
      <c r="J167" s="2"/>
      <c r="K167" s="2"/>
      <c r="L167" s="2"/>
      <c r="M167" s="3"/>
      <c r="N167"/>
    </row>
    <row r="168" spans="1:14">
      <c r="A168" s="3" t="s">
        <v>106</v>
      </c>
      <c r="B168" s="4" t="s">
        <v>107</v>
      </c>
      <c r="C168" s="1" t="s">
        <v>151</v>
      </c>
      <c r="D168" s="2" t="s">
        <v>152</v>
      </c>
      <c r="E168" s="2"/>
      <c r="F168" s="2"/>
      <c r="G168" s="2"/>
      <c r="H168" s="2"/>
      <c r="I168" s="2"/>
      <c r="J168" s="2"/>
      <c r="K168" s="2"/>
      <c r="L168" s="2"/>
      <c r="M168" s="3"/>
      <c r="N168"/>
    </row>
    <row r="169" spans="1:14">
      <c r="A169" s="3" t="s">
        <v>106</v>
      </c>
      <c r="B169" s="4" t="s">
        <v>107</v>
      </c>
      <c r="C169" s="1" t="s">
        <v>153</v>
      </c>
      <c r="D169" s="2" t="s">
        <v>154</v>
      </c>
      <c r="E169" s="2"/>
      <c r="F169" s="2"/>
      <c r="G169" s="2"/>
      <c r="H169" s="2"/>
      <c r="I169" s="2"/>
      <c r="J169" s="2"/>
      <c r="K169" s="2"/>
      <c r="L169" s="2"/>
      <c r="M169" s="3"/>
      <c r="N169"/>
    </row>
    <row r="170" spans="1:14">
      <c r="A170" s="3" t="s">
        <v>106</v>
      </c>
      <c r="B170" s="4" t="s">
        <v>107</v>
      </c>
      <c r="C170" s="1" t="s">
        <v>155</v>
      </c>
      <c r="D170" s="2" t="s">
        <v>156</v>
      </c>
      <c r="E170" s="2"/>
      <c r="F170" s="2"/>
      <c r="G170" s="2"/>
      <c r="H170" s="2"/>
      <c r="I170" s="2"/>
      <c r="J170" s="2"/>
      <c r="K170" s="2"/>
      <c r="L170" s="2"/>
      <c r="M170" s="3"/>
      <c r="N170"/>
    </row>
    <row r="171" spans="1:14">
      <c r="A171" s="3" t="s">
        <v>106</v>
      </c>
      <c r="B171" s="4" t="s">
        <v>107</v>
      </c>
      <c r="C171" s="1" t="s">
        <v>157</v>
      </c>
      <c r="D171" s="2" t="s">
        <v>158</v>
      </c>
      <c r="E171" s="1" t="s">
        <v>157</v>
      </c>
      <c r="F171" s="6" t="s">
        <v>655</v>
      </c>
      <c r="G171" s="2"/>
      <c r="H171" s="2"/>
      <c r="I171" s="2"/>
      <c r="J171" s="2"/>
      <c r="K171" s="2"/>
      <c r="L171" s="2"/>
      <c r="M171" s="3"/>
      <c r="N171"/>
    </row>
    <row r="172" spans="1:14">
      <c r="A172" s="3" t="s">
        <v>106</v>
      </c>
      <c r="B172" s="4" t="s">
        <v>107</v>
      </c>
      <c r="C172" s="1" t="s">
        <v>159</v>
      </c>
      <c r="D172" s="2" t="s">
        <v>160</v>
      </c>
      <c r="E172" s="2"/>
      <c r="F172" s="2"/>
      <c r="G172" s="2"/>
      <c r="H172" s="2"/>
      <c r="I172" s="2"/>
      <c r="J172" s="2"/>
      <c r="K172" s="2"/>
      <c r="L172" s="2"/>
      <c r="M172" s="3"/>
      <c r="N172"/>
    </row>
    <row r="173" spans="1:14">
      <c r="A173" s="3" t="s">
        <v>106</v>
      </c>
      <c r="B173" s="4" t="s">
        <v>107</v>
      </c>
      <c r="C173" s="1" t="s">
        <v>161</v>
      </c>
      <c r="D173" s="2" t="s">
        <v>162</v>
      </c>
      <c r="E173" s="2"/>
      <c r="F173" s="2"/>
      <c r="G173" s="2"/>
      <c r="H173" s="2"/>
      <c r="I173" s="2"/>
      <c r="J173" s="2"/>
      <c r="K173" s="2"/>
      <c r="L173" s="2"/>
      <c r="M173" s="3"/>
      <c r="N173"/>
    </row>
    <row r="174" spans="1:14">
      <c r="A174" s="3" t="s">
        <v>106</v>
      </c>
      <c r="B174" s="4" t="s">
        <v>107</v>
      </c>
      <c r="C174" s="1" t="s">
        <v>163</v>
      </c>
      <c r="D174" s="2" t="s">
        <v>164</v>
      </c>
      <c r="E174" s="2"/>
      <c r="F174" s="2"/>
      <c r="G174" s="2"/>
      <c r="H174" s="2"/>
      <c r="I174" s="2"/>
      <c r="J174" s="2"/>
      <c r="K174" s="2"/>
      <c r="L174" s="2"/>
      <c r="M174" s="3"/>
      <c r="N174"/>
    </row>
    <row r="175" spans="1:14">
      <c r="A175" s="3" t="s">
        <v>106</v>
      </c>
      <c r="B175" s="4" t="s">
        <v>107</v>
      </c>
      <c r="C175" s="1" t="s">
        <v>194</v>
      </c>
      <c r="D175" s="2" t="s">
        <v>195</v>
      </c>
      <c r="E175" s="2"/>
      <c r="F175" s="2"/>
      <c r="G175" s="2"/>
      <c r="H175" s="2"/>
      <c r="I175" s="2"/>
      <c r="J175" s="2"/>
      <c r="K175" s="2"/>
      <c r="L175" s="2"/>
      <c r="M175" s="3"/>
      <c r="N175"/>
    </row>
    <row r="176" spans="1:14">
      <c r="A176" s="3" t="s">
        <v>106</v>
      </c>
      <c r="B176" s="4" t="s">
        <v>107</v>
      </c>
      <c r="C176" s="1" t="s">
        <v>198</v>
      </c>
      <c r="D176" s="2" t="s">
        <v>199</v>
      </c>
      <c r="E176" s="2"/>
      <c r="F176" s="2"/>
      <c r="G176" s="2"/>
      <c r="H176" s="2"/>
      <c r="I176" s="2"/>
      <c r="J176" s="2"/>
      <c r="K176" s="2"/>
      <c r="L176" s="2"/>
      <c r="M176" s="3"/>
      <c r="N176"/>
    </row>
    <row r="177" spans="1:14">
      <c r="A177" s="3" t="s">
        <v>106</v>
      </c>
      <c r="B177" s="4" t="s">
        <v>107</v>
      </c>
      <c r="C177" s="1" t="s">
        <v>200</v>
      </c>
      <c r="D177" s="2" t="s">
        <v>119</v>
      </c>
      <c r="E177" s="1" t="s">
        <v>200</v>
      </c>
      <c r="F177" s="6" t="s">
        <v>655</v>
      </c>
      <c r="G177" s="2"/>
      <c r="H177" s="2"/>
      <c r="I177" s="2"/>
      <c r="J177" s="2"/>
      <c r="K177" s="2"/>
      <c r="L177" s="2"/>
      <c r="M177" s="3"/>
      <c r="N177"/>
    </row>
    <row r="178" spans="1:14">
      <c r="A178" s="3" t="s">
        <v>106</v>
      </c>
      <c r="B178" s="4" t="s">
        <v>107</v>
      </c>
      <c r="C178" s="1" t="s">
        <v>201</v>
      </c>
      <c r="D178" s="2" t="s">
        <v>202</v>
      </c>
      <c r="E178" s="2"/>
      <c r="F178" s="2"/>
      <c r="G178" s="2"/>
      <c r="H178" s="2"/>
      <c r="I178" s="2"/>
      <c r="J178" s="2"/>
      <c r="K178" s="2"/>
      <c r="L178" s="2"/>
      <c r="M178" s="3"/>
      <c r="N178"/>
    </row>
    <row r="179" spans="1:14">
      <c r="A179" s="3" t="s">
        <v>106</v>
      </c>
      <c r="B179" s="4" t="s">
        <v>107</v>
      </c>
      <c r="C179" s="1" t="s">
        <v>203</v>
      </c>
      <c r="D179" s="2" t="s">
        <v>204</v>
      </c>
      <c r="E179" s="2"/>
      <c r="F179" s="2"/>
      <c r="G179" s="2"/>
      <c r="H179" s="2"/>
      <c r="I179" s="2"/>
      <c r="J179" s="2"/>
      <c r="K179" s="2"/>
      <c r="L179" s="2"/>
      <c r="M179" s="3"/>
      <c r="N179"/>
    </row>
    <row r="180" spans="1:14">
      <c r="A180" s="3" t="s">
        <v>106</v>
      </c>
      <c r="B180" s="4" t="s">
        <v>107</v>
      </c>
      <c r="C180" s="1" t="s">
        <v>205</v>
      </c>
      <c r="D180" s="2" t="s">
        <v>206</v>
      </c>
      <c r="E180" s="2"/>
      <c r="F180" s="2"/>
      <c r="G180" s="2"/>
      <c r="H180" s="2"/>
      <c r="I180" s="2"/>
      <c r="J180" s="2"/>
      <c r="K180" s="2"/>
      <c r="L180" s="2"/>
      <c r="M180" s="3"/>
      <c r="N180"/>
    </row>
    <row r="181" spans="1:14">
      <c r="A181" s="3" t="s">
        <v>106</v>
      </c>
      <c r="B181" s="4" t="s">
        <v>146</v>
      </c>
      <c r="C181" s="1" t="s">
        <v>147</v>
      </c>
      <c r="D181" s="2" t="s">
        <v>148</v>
      </c>
      <c r="E181" s="2"/>
      <c r="F181" s="2"/>
      <c r="G181" s="2"/>
      <c r="H181" s="2"/>
      <c r="I181" s="2"/>
      <c r="J181" s="2"/>
      <c r="K181" s="2"/>
      <c r="L181" s="2"/>
      <c r="M181" s="3"/>
      <c r="N181"/>
    </row>
    <row r="182" spans="1:14">
      <c r="A182" s="3" t="s">
        <v>106</v>
      </c>
      <c r="B182" s="4" t="s">
        <v>165</v>
      </c>
      <c r="C182" s="1" t="s">
        <v>166</v>
      </c>
      <c r="D182" s="2" t="s">
        <v>167</v>
      </c>
      <c r="E182" s="2"/>
      <c r="F182" s="6"/>
      <c r="G182" s="2"/>
      <c r="H182" s="2"/>
      <c r="I182" s="2"/>
      <c r="J182" s="2"/>
      <c r="K182" s="2"/>
      <c r="L182" s="2"/>
      <c r="M182" s="3"/>
      <c r="N182"/>
    </row>
    <row r="183" spans="1:14">
      <c r="A183" s="3" t="s">
        <v>106</v>
      </c>
      <c r="B183" s="4" t="s">
        <v>165</v>
      </c>
      <c r="C183" s="1" t="s">
        <v>168</v>
      </c>
      <c r="D183" s="2" t="s">
        <v>169</v>
      </c>
      <c r="E183" s="2"/>
      <c r="F183" s="2"/>
      <c r="G183" s="2"/>
      <c r="H183" s="2"/>
      <c r="I183" s="2"/>
      <c r="J183" s="2"/>
      <c r="K183" s="2"/>
      <c r="L183" s="2"/>
      <c r="M183" s="3"/>
      <c r="N183"/>
    </row>
    <row r="184" spans="1:14">
      <c r="A184" s="3" t="s">
        <v>106</v>
      </c>
      <c r="B184" s="4" t="s">
        <v>165</v>
      </c>
      <c r="C184" s="1" t="s">
        <v>170</v>
      </c>
      <c r="D184" s="2" t="s">
        <v>171</v>
      </c>
      <c r="E184" s="2"/>
      <c r="F184" s="2"/>
      <c r="G184" s="2"/>
      <c r="H184" s="2"/>
      <c r="I184" s="2"/>
      <c r="J184" s="2"/>
      <c r="K184" s="2"/>
      <c r="L184" s="2"/>
      <c r="M184" s="3"/>
      <c r="N184"/>
    </row>
    <row r="185" spans="1:14">
      <c r="A185" s="3" t="s">
        <v>106</v>
      </c>
      <c r="B185" s="4" t="s">
        <v>165</v>
      </c>
      <c r="C185" s="1" t="s">
        <v>172</v>
      </c>
      <c r="D185" s="2" t="s">
        <v>173</v>
      </c>
      <c r="E185" s="2"/>
      <c r="F185" s="2"/>
      <c r="G185" s="2"/>
      <c r="H185" s="2"/>
      <c r="I185" s="2"/>
      <c r="J185" s="2"/>
      <c r="K185" s="2"/>
      <c r="L185" s="2"/>
      <c r="M185" s="3"/>
      <c r="N185"/>
    </row>
    <row r="186" spans="1:14">
      <c r="A186" s="3" t="s">
        <v>106</v>
      </c>
      <c r="B186" s="4" t="s">
        <v>165</v>
      </c>
      <c r="C186" s="1" t="s">
        <v>174</v>
      </c>
      <c r="D186" s="2" t="s">
        <v>175</v>
      </c>
      <c r="E186" s="2"/>
      <c r="F186" s="2"/>
      <c r="G186" s="2"/>
      <c r="H186" s="2"/>
      <c r="I186" s="2"/>
      <c r="J186" s="2"/>
      <c r="K186" s="2"/>
      <c r="L186" s="2"/>
      <c r="M186" s="3"/>
      <c r="N186"/>
    </row>
    <row r="187" spans="1:14">
      <c r="A187" s="3" t="s">
        <v>106</v>
      </c>
      <c r="B187" s="4" t="s">
        <v>165</v>
      </c>
      <c r="C187" s="1" t="s">
        <v>176</v>
      </c>
      <c r="D187" s="2" t="s">
        <v>177</v>
      </c>
      <c r="E187" s="2"/>
      <c r="F187" s="2"/>
      <c r="G187" s="2"/>
      <c r="H187" s="2"/>
      <c r="I187" s="2"/>
      <c r="J187" s="2"/>
      <c r="K187" s="2"/>
      <c r="L187" s="2"/>
      <c r="M187" s="3"/>
      <c r="N187"/>
    </row>
    <row r="188" spans="1:14">
      <c r="A188" s="3" t="s">
        <v>106</v>
      </c>
      <c r="B188" s="4" t="s">
        <v>165</v>
      </c>
      <c r="C188" s="1" t="s">
        <v>178</v>
      </c>
      <c r="D188" s="2" t="s">
        <v>179</v>
      </c>
      <c r="E188" s="2"/>
      <c r="F188" s="2"/>
      <c r="G188" s="2"/>
      <c r="H188" s="2"/>
      <c r="I188" s="2"/>
      <c r="J188" s="2"/>
      <c r="K188" s="2"/>
      <c r="L188" s="2"/>
      <c r="M188" s="3"/>
      <c r="N188"/>
    </row>
    <row r="189" spans="1:14">
      <c r="A189" s="3" t="s">
        <v>106</v>
      </c>
      <c r="B189" s="4" t="s">
        <v>165</v>
      </c>
      <c r="C189" s="1" t="s">
        <v>180</v>
      </c>
      <c r="D189" s="2" t="s">
        <v>181</v>
      </c>
      <c r="E189" s="2"/>
      <c r="F189" s="2"/>
      <c r="G189" s="2"/>
      <c r="H189" s="2"/>
      <c r="I189" s="2"/>
      <c r="J189" s="2"/>
      <c r="K189" s="2"/>
      <c r="L189" s="2"/>
      <c r="M189" s="3"/>
      <c r="N189"/>
    </row>
    <row r="190" spans="1:14">
      <c r="A190" s="3" t="s">
        <v>106</v>
      </c>
      <c r="B190" s="4" t="s">
        <v>165</v>
      </c>
      <c r="C190" s="1" t="s">
        <v>182</v>
      </c>
      <c r="D190" s="2" t="s">
        <v>183</v>
      </c>
      <c r="E190" s="2"/>
      <c r="F190" s="2"/>
      <c r="G190" s="2"/>
      <c r="H190" s="2"/>
      <c r="I190" s="2"/>
      <c r="J190" s="2"/>
      <c r="K190" s="2"/>
      <c r="L190" s="2"/>
      <c r="M190" s="3"/>
      <c r="N190"/>
    </row>
    <row r="191" spans="1:14">
      <c r="A191" s="3" t="s">
        <v>106</v>
      </c>
      <c r="B191" s="4" t="s">
        <v>165</v>
      </c>
      <c r="C191" s="1" t="s">
        <v>184</v>
      </c>
      <c r="D191" s="2" t="s">
        <v>185</v>
      </c>
      <c r="E191" s="2"/>
      <c r="F191" s="2"/>
      <c r="G191" s="2"/>
      <c r="H191" s="2"/>
      <c r="I191" s="2"/>
      <c r="J191" s="2"/>
      <c r="K191" s="2"/>
      <c r="L191" s="2"/>
      <c r="M191" s="3"/>
      <c r="N191"/>
    </row>
    <row r="192" spans="1:14">
      <c r="A192" s="3" t="s">
        <v>106</v>
      </c>
      <c r="B192" s="4" t="s">
        <v>165</v>
      </c>
      <c r="C192" s="1" t="s">
        <v>186</v>
      </c>
      <c r="D192" s="2" t="s">
        <v>187</v>
      </c>
      <c r="E192" s="2"/>
      <c r="F192" s="2"/>
      <c r="G192" s="2"/>
      <c r="H192" s="2"/>
      <c r="I192" s="2"/>
      <c r="J192" s="2"/>
      <c r="K192" s="2"/>
      <c r="L192" s="2"/>
      <c r="M192" s="3"/>
      <c r="N192"/>
    </row>
    <row r="193" spans="1:15">
      <c r="A193" s="3" t="s">
        <v>106</v>
      </c>
      <c r="B193" s="4" t="s">
        <v>165</v>
      </c>
      <c r="C193" s="1" t="s">
        <v>188</v>
      </c>
      <c r="D193" s="2" t="s">
        <v>189</v>
      </c>
      <c r="E193" s="2"/>
      <c r="F193" s="2"/>
      <c r="G193" s="2"/>
      <c r="H193" s="2"/>
      <c r="I193" s="2"/>
      <c r="J193" s="2"/>
      <c r="K193" s="2"/>
      <c r="L193" s="2"/>
      <c r="M193" s="3"/>
      <c r="N193"/>
    </row>
    <row r="194" spans="1:15">
      <c r="A194" s="3" t="s">
        <v>106</v>
      </c>
      <c r="B194" s="4" t="s">
        <v>165</v>
      </c>
      <c r="C194" s="1" t="s">
        <v>190</v>
      </c>
      <c r="D194" s="2" t="s">
        <v>191</v>
      </c>
      <c r="E194" s="2"/>
      <c r="F194" s="2"/>
      <c r="G194" s="2"/>
      <c r="H194" s="2"/>
      <c r="I194" s="2"/>
      <c r="J194" s="2"/>
      <c r="K194" s="2"/>
      <c r="L194" s="2"/>
      <c r="M194" s="3"/>
      <c r="N194"/>
    </row>
    <row r="195" spans="1:15">
      <c r="A195" s="3" t="s">
        <v>106</v>
      </c>
      <c r="B195" s="4" t="s">
        <v>165</v>
      </c>
      <c r="C195" s="1" t="s">
        <v>192</v>
      </c>
      <c r="D195" s="2" t="s">
        <v>193</v>
      </c>
      <c r="E195" s="2"/>
      <c r="F195" s="2"/>
      <c r="G195" s="2"/>
      <c r="H195" s="2"/>
      <c r="I195" s="2"/>
      <c r="J195" s="2"/>
      <c r="K195" s="2"/>
      <c r="L195" s="2"/>
      <c r="M195" s="3"/>
      <c r="N195"/>
    </row>
    <row r="196" spans="1:15">
      <c r="A196" s="3" t="s">
        <v>106</v>
      </c>
      <c r="B196" s="4" t="s">
        <v>165</v>
      </c>
      <c r="C196" s="1" t="s">
        <v>196</v>
      </c>
      <c r="D196" s="2" t="s">
        <v>197</v>
      </c>
      <c r="E196" s="2"/>
      <c r="F196" s="2"/>
      <c r="G196" s="2"/>
      <c r="H196" s="2"/>
      <c r="I196" s="2"/>
      <c r="J196" s="2"/>
      <c r="K196" s="2"/>
      <c r="L196" s="2"/>
      <c r="M196" s="3"/>
      <c r="N196"/>
    </row>
    <row r="197" spans="1:15">
      <c r="A197" s="40" t="s">
        <v>208</v>
      </c>
      <c r="B197" s="49" t="s">
        <v>230</v>
      </c>
      <c r="C197" s="41" t="s">
        <v>231</v>
      </c>
      <c r="D197" s="42" t="s">
        <v>232</v>
      </c>
      <c r="E197" s="42" t="s">
        <v>1753</v>
      </c>
      <c r="F197" s="42"/>
      <c r="G197" s="51"/>
      <c r="H197" s="61">
        <f>VLOOKUP(C197,反转因子_broad!A:V,13,FALSE)</f>
        <v>-3.3000000000000002E-2</v>
      </c>
      <c r="I197" s="60">
        <f>VLOOKUP(C197,反转因子_zz800!A:V,13,FALSE)</f>
        <v>-2.7E-2</v>
      </c>
      <c r="J197" s="52"/>
      <c r="K197" s="42"/>
      <c r="L197" s="2"/>
      <c r="M197" s="46"/>
      <c r="N197" s="40"/>
      <c r="O197" s="40"/>
    </row>
    <row r="198" spans="1:15">
      <c r="A198" s="40" t="s">
        <v>208</v>
      </c>
      <c r="B198" s="49" t="s">
        <v>230</v>
      </c>
      <c r="C198" s="41" t="s">
        <v>233</v>
      </c>
      <c r="D198" s="42" t="s">
        <v>234</v>
      </c>
      <c r="E198" s="42" t="s">
        <v>1753</v>
      </c>
      <c r="F198" s="42"/>
      <c r="G198" s="51"/>
      <c r="H198" s="60">
        <f>VLOOKUP(C198,反转因子_broad!A:V,13,FALSE)</f>
        <v>-0.04</v>
      </c>
      <c r="I198" s="60">
        <f>VLOOKUP(C198,反转因子_zz800!A:V,13,FALSE)</f>
        <v>-2.9000000000000001E-2</v>
      </c>
      <c r="J198" s="51"/>
      <c r="K198" s="42"/>
      <c r="L198" s="2"/>
      <c r="M198" s="46"/>
      <c r="N198" s="40"/>
      <c r="O198" s="40"/>
    </row>
    <row r="199" spans="1:15">
      <c r="A199" s="40" t="s">
        <v>208</v>
      </c>
      <c r="B199" s="49" t="s">
        <v>230</v>
      </c>
      <c r="C199" s="41" t="s">
        <v>235</v>
      </c>
      <c r="D199" s="42" t="s">
        <v>236</v>
      </c>
      <c r="E199" s="42" t="s">
        <v>1753</v>
      </c>
      <c r="F199" s="42"/>
      <c r="G199" s="51"/>
      <c r="H199" s="36">
        <f>VLOOKUP(C199,反转因子_broad!A:V,13,FALSE)</f>
        <v>-2.8000000000000001E-2</v>
      </c>
      <c r="I199" s="60">
        <f>VLOOKUP(C199,反转因子_zz800!A:V,13,FALSE)</f>
        <v>-2.7E-2</v>
      </c>
      <c r="J199" s="51"/>
      <c r="K199" s="2"/>
      <c r="L199" s="2"/>
      <c r="M199" s="46"/>
      <c r="N199" s="40"/>
      <c r="O199" s="40"/>
    </row>
    <row r="200" spans="1:15">
      <c r="A200" s="40" t="s">
        <v>208</v>
      </c>
      <c r="B200" s="49" t="s">
        <v>230</v>
      </c>
      <c r="C200" s="41" t="s">
        <v>237</v>
      </c>
      <c r="D200" s="42" t="s">
        <v>238</v>
      </c>
      <c r="E200" s="42" t="s">
        <v>1753</v>
      </c>
      <c r="F200" s="42"/>
      <c r="G200" s="51"/>
      <c r="H200" s="36">
        <f>VLOOKUP(C200,反转因子_broad!A:V,13,FALSE)</f>
        <v>-2.8000000000000001E-2</v>
      </c>
      <c r="I200" s="60">
        <f>VLOOKUP(C200,反转因子_zz800!A:V,13,FALSE)</f>
        <v>-2.3E-2</v>
      </c>
      <c r="J200" s="51"/>
      <c r="K200" s="2"/>
      <c r="L200" s="2"/>
      <c r="M200" s="46"/>
      <c r="N200" s="40"/>
      <c r="O200" s="40"/>
    </row>
    <row r="201" spans="1:15">
      <c r="A201" s="40" t="s">
        <v>208</v>
      </c>
      <c r="B201" s="49" t="s">
        <v>230</v>
      </c>
      <c r="C201" s="41" t="s">
        <v>239</v>
      </c>
      <c r="D201" s="42" t="s">
        <v>240</v>
      </c>
      <c r="E201" s="42" t="s">
        <v>1753</v>
      </c>
      <c r="F201" s="42"/>
      <c r="G201" s="51"/>
      <c r="H201" s="36">
        <f>VLOOKUP(C201,反转因子_broad!A:V,13,FALSE)</f>
        <v>-2.5999999999999999E-2</v>
      </c>
      <c r="I201" s="60">
        <f>VLOOKUP(C201,反转因子_zz800!A:V,13,FALSE)</f>
        <v>-2.1000000000000001E-2</v>
      </c>
      <c r="J201" s="51"/>
      <c r="K201" s="2"/>
      <c r="L201" s="2"/>
      <c r="M201" s="46"/>
      <c r="N201" s="40"/>
      <c r="O201" s="40"/>
    </row>
    <row r="202" spans="1:15">
      <c r="A202" s="40" t="s">
        <v>208</v>
      </c>
      <c r="B202" s="49" t="s">
        <v>230</v>
      </c>
      <c r="C202" s="41" t="s">
        <v>678</v>
      </c>
      <c r="D202" s="43" t="s">
        <v>679</v>
      </c>
      <c r="E202" s="42" t="s">
        <v>678</v>
      </c>
      <c r="F202" s="43" t="s">
        <v>655</v>
      </c>
      <c r="G202" s="51"/>
      <c r="H202" s="36">
        <f>VLOOKUP(C202,反转因子_broad!A:V,13,FALSE)</f>
        <v>9.1999999999999998E-2</v>
      </c>
      <c r="I202" s="60">
        <f>VLOOKUP(C202,反转因子_zz800!A:V,13,FALSE)</f>
        <v>7.0000000000000007E-2</v>
      </c>
      <c r="J202" s="51"/>
      <c r="K202" s="2"/>
      <c r="L202" s="2"/>
      <c r="M202" s="3"/>
      <c r="N202" s="63"/>
      <c r="O202" s="40"/>
    </row>
    <row r="203" spans="1:15">
      <c r="A203" s="40" t="s">
        <v>208</v>
      </c>
      <c r="B203" s="49" t="s">
        <v>230</v>
      </c>
      <c r="C203" s="41" t="s">
        <v>245</v>
      </c>
      <c r="D203" s="43" t="s">
        <v>679</v>
      </c>
      <c r="E203" s="42" t="s">
        <v>245</v>
      </c>
      <c r="F203" s="43" t="s">
        <v>655</v>
      </c>
      <c r="G203" s="51"/>
      <c r="H203" s="36">
        <f>VLOOKUP(C203,反转因子_broad!A:V,13,FALSE)</f>
        <v>9.0999999999999998E-2</v>
      </c>
      <c r="I203" s="60">
        <f>VLOOKUP(C203,反转因子_zz800!A:V,13,FALSE)</f>
        <v>7.1999999999999995E-2</v>
      </c>
      <c r="J203" s="51"/>
      <c r="K203" s="2"/>
      <c r="L203" s="2"/>
      <c r="M203" s="3"/>
      <c r="N203" s="63"/>
      <c r="O203" s="40"/>
    </row>
    <row r="204" spans="1:15">
      <c r="A204" s="40" t="s">
        <v>208</v>
      </c>
      <c r="B204" s="49" t="s">
        <v>230</v>
      </c>
      <c r="C204" s="41" t="s">
        <v>247</v>
      </c>
      <c r="D204" s="42" t="s">
        <v>248</v>
      </c>
      <c r="E204" s="42" t="s">
        <v>1753</v>
      </c>
      <c r="F204" s="42"/>
      <c r="G204" s="51"/>
      <c r="H204" s="36">
        <f>VLOOKUP(C204,反转因子_broad!A:V,13,FALSE)</f>
        <v>6.4000000000000001E-2</v>
      </c>
      <c r="I204" s="60">
        <f>VLOOKUP(C204,反转因子_zz800!A:V,13,FALSE)</f>
        <v>5.6000000000000001E-2</v>
      </c>
      <c r="J204" s="51"/>
      <c r="K204" s="2"/>
      <c r="L204" s="2"/>
      <c r="M204" s="3"/>
      <c r="N204" s="63"/>
      <c r="O204" s="40"/>
    </row>
    <row r="205" spans="1:15">
      <c r="A205" s="40" t="s">
        <v>208</v>
      </c>
      <c r="B205" s="49" t="s">
        <v>230</v>
      </c>
      <c r="C205" s="41" t="s">
        <v>249</v>
      </c>
      <c r="D205" s="42" t="s">
        <v>250</v>
      </c>
      <c r="E205" s="42" t="s">
        <v>1753</v>
      </c>
      <c r="F205" s="42"/>
      <c r="G205" s="51"/>
      <c r="H205" s="36">
        <f>VLOOKUP(C205,反转因子_broad!A:V,13,FALSE)</f>
        <v>9.1999999999999998E-2</v>
      </c>
      <c r="I205" s="60">
        <f>VLOOKUP(C205,反转因子_zz800!A:V,13,FALSE)</f>
        <v>7.1999999999999995E-2</v>
      </c>
      <c r="J205" s="51"/>
      <c r="K205" s="2"/>
      <c r="L205" s="2"/>
      <c r="M205" s="3"/>
      <c r="N205" s="63"/>
      <c r="O205" s="40"/>
    </row>
    <row r="206" spans="1:15">
      <c r="A206" s="40" t="s">
        <v>208</v>
      </c>
      <c r="B206" s="49" t="s">
        <v>230</v>
      </c>
      <c r="C206" s="41" t="s">
        <v>251</v>
      </c>
      <c r="D206" s="42" t="s">
        <v>252</v>
      </c>
      <c r="E206" s="42" t="s">
        <v>1753</v>
      </c>
      <c r="F206" s="42"/>
      <c r="G206" s="51"/>
      <c r="H206" s="36">
        <f>VLOOKUP(C206,反转因子_broad!A:V,13,FALSE)</f>
        <v>5.5E-2</v>
      </c>
      <c r="I206" s="60">
        <f>VLOOKUP(C206,反转因子_zz800!A:V,13,FALSE)</f>
        <v>4.8000000000000001E-2</v>
      </c>
      <c r="J206" s="51"/>
      <c r="K206" s="2"/>
      <c r="L206" s="2"/>
      <c r="M206" s="3"/>
      <c r="N206" s="63"/>
      <c r="O206" s="40"/>
    </row>
    <row r="207" spans="1:15">
      <c r="A207" s="40" t="s">
        <v>208</v>
      </c>
      <c r="B207" s="49" t="s">
        <v>230</v>
      </c>
      <c r="C207" s="41" t="s">
        <v>253</v>
      </c>
      <c r="D207" s="42" t="s">
        <v>254</v>
      </c>
      <c r="E207" s="42" t="s">
        <v>1753</v>
      </c>
      <c r="F207" s="42"/>
      <c r="G207" s="51"/>
      <c r="H207" s="36">
        <f>VLOOKUP(C207,反转因子_broad!A:V,13,FALSE)</f>
        <v>0.08</v>
      </c>
      <c r="I207" s="60">
        <f>VLOOKUP(C207,反转因子_zz800!A:V,13,FALSE)</f>
        <v>6.8000000000000005E-2</v>
      </c>
      <c r="J207" s="51"/>
      <c r="K207" s="2"/>
      <c r="L207" s="2"/>
      <c r="M207" s="3"/>
      <c r="N207" s="63"/>
      <c r="O207" s="40"/>
    </row>
    <row r="208" spans="1:15">
      <c r="A208" s="40" t="s">
        <v>208</v>
      </c>
      <c r="B208" s="49" t="s">
        <v>230</v>
      </c>
      <c r="C208" s="41" t="s">
        <v>255</v>
      </c>
      <c r="D208" s="42" t="s">
        <v>256</v>
      </c>
      <c r="E208" s="42" t="s">
        <v>1753</v>
      </c>
      <c r="F208" s="42"/>
      <c r="G208" s="51"/>
      <c r="H208" s="36">
        <f>VLOOKUP(C208,反转因子_broad!A:V,13,FALSE)</f>
        <v>7.0000000000000007E-2</v>
      </c>
      <c r="I208" s="60">
        <f>VLOOKUP(C208,反转因子_zz800!A:V,13,FALSE)</f>
        <v>0.06</v>
      </c>
      <c r="J208" s="51"/>
      <c r="K208" s="2"/>
      <c r="L208" s="2"/>
      <c r="M208" s="3"/>
      <c r="N208" s="63"/>
      <c r="O208" s="40"/>
    </row>
    <row r="209" spans="1:15">
      <c r="A209" s="40" t="s">
        <v>208</v>
      </c>
      <c r="B209" s="49" t="s">
        <v>230</v>
      </c>
      <c r="C209" s="41" t="s">
        <v>257</v>
      </c>
      <c r="D209" s="42" t="s">
        <v>250</v>
      </c>
      <c r="E209" s="42" t="s">
        <v>245</v>
      </c>
      <c r="F209" s="43" t="s">
        <v>655</v>
      </c>
      <c r="G209" s="51"/>
      <c r="H209" s="36">
        <f>VLOOKUP(C209,反转因子_broad!A:V,13,FALSE)</f>
        <v>7.9000000000000001E-2</v>
      </c>
      <c r="I209" s="60">
        <f>VLOOKUP(C209,反转因子_zz800!A:V,13,FALSE)</f>
        <v>6.2E-2</v>
      </c>
      <c r="J209" s="51"/>
      <c r="K209" s="2"/>
      <c r="L209" s="2"/>
      <c r="M209" s="3"/>
      <c r="N209" s="63"/>
      <c r="O209" s="40"/>
    </row>
    <row r="210" spans="1:15">
      <c r="A210" s="40" t="s">
        <v>208</v>
      </c>
      <c r="B210" s="49" t="s">
        <v>230</v>
      </c>
      <c r="C210" s="41" t="s">
        <v>258</v>
      </c>
      <c r="D210" s="42" t="s">
        <v>259</v>
      </c>
      <c r="E210" s="42" t="s">
        <v>1753</v>
      </c>
      <c r="F210" s="42"/>
      <c r="G210" s="51"/>
      <c r="H210" s="36">
        <f>VLOOKUP(C210,反转因子_broad!A:V,13,FALSE)</f>
        <v>5.5E-2</v>
      </c>
      <c r="I210" s="60">
        <f>VLOOKUP(C210,反转因子_zz800!A:V,13,FALSE)</f>
        <v>4.5999999999999999E-2</v>
      </c>
      <c r="J210" s="51"/>
      <c r="K210" s="2"/>
      <c r="L210" s="2"/>
      <c r="M210" s="46"/>
      <c r="N210" s="40"/>
      <c r="O210" s="40"/>
    </row>
    <row r="211" spans="1:15">
      <c r="A211" s="40" t="s">
        <v>208</v>
      </c>
      <c r="B211" s="49" t="s">
        <v>230</v>
      </c>
      <c r="C211" s="41" t="s">
        <v>260</v>
      </c>
      <c r="D211" s="42" t="s">
        <v>261</v>
      </c>
      <c r="E211" s="42" t="s">
        <v>1753</v>
      </c>
      <c r="F211" s="42"/>
      <c r="G211" s="51"/>
      <c r="H211" s="36">
        <f>VLOOKUP(C211,反转因子_broad!A:V,13,FALSE)</f>
        <v>0.08</v>
      </c>
      <c r="I211" s="60">
        <f>VLOOKUP(C211,反转因子_zz800!A:V,13,FALSE)</f>
        <v>6.3E-2</v>
      </c>
      <c r="J211" s="51"/>
      <c r="K211" s="2"/>
      <c r="L211" s="2"/>
      <c r="M211" s="46"/>
      <c r="N211" s="40"/>
      <c r="O211" s="40"/>
    </row>
    <row r="212" spans="1:15">
      <c r="A212" s="40" t="s">
        <v>208</v>
      </c>
      <c r="B212" s="49" t="s">
        <v>230</v>
      </c>
      <c r="C212" s="41" t="s">
        <v>262</v>
      </c>
      <c r="D212" s="42" t="s">
        <v>263</v>
      </c>
      <c r="E212" s="42" t="s">
        <v>1753</v>
      </c>
      <c r="F212" s="42"/>
      <c r="G212" s="51"/>
      <c r="H212" s="36">
        <f>VLOOKUP(C212,反转因子_broad!A:V,13,FALSE)</f>
        <v>4.3999999999999997E-2</v>
      </c>
      <c r="I212" s="60">
        <f>VLOOKUP(C212,反转因子_zz800!A:V,13,FALSE)</f>
        <v>3.5999999999999997E-2</v>
      </c>
      <c r="J212" s="51"/>
      <c r="K212" s="2"/>
      <c r="L212" s="2"/>
      <c r="M212" s="46"/>
      <c r="N212" s="40"/>
      <c r="O212" s="40"/>
    </row>
    <row r="213" spans="1:15">
      <c r="A213" s="40" t="s">
        <v>208</v>
      </c>
      <c r="B213" s="49" t="s">
        <v>230</v>
      </c>
      <c r="C213" s="41" t="s">
        <v>264</v>
      </c>
      <c r="D213" s="42" t="s">
        <v>265</v>
      </c>
      <c r="E213" s="42" t="s">
        <v>1753</v>
      </c>
      <c r="F213" s="42"/>
      <c r="G213" s="51"/>
      <c r="H213" s="36">
        <f>VLOOKUP(C213,反转因子_broad!A:V,13,FALSE)</f>
        <v>7.2999999999999995E-2</v>
      </c>
      <c r="I213" s="60">
        <f>VLOOKUP(C213,反转因子_zz800!A:V,13,FALSE)</f>
        <v>6.0999999999999999E-2</v>
      </c>
      <c r="J213" s="51"/>
      <c r="K213" s="2"/>
      <c r="L213" s="2"/>
      <c r="M213" s="46"/>
      <c r="N213" s="40"/>
      <c r="O213" s="40"/>
    </row>
    <row r="214" spans="1:15">
      <c r="A214" s="40" t="s">
        <v>208</v>
      </c>
      <c r="B214" s="49" t="s">
        <v>230</v>
      </c>
      <c r="C214" s="41" t="s">
        <v>266</v>
      </c>
      <c r="D214" s="42" t="s">
        <v>267</v>
      </c>
      <c r="E214" s="42" t="s">
        <v>1753</v>
      </c>
      <c r="F214" s="42"/>
      <c r="G214" s="51"/>
      <c r="H214" s="36">
        <f>VLOOKUP(C214,反转因子_broad!A:V,13,FALSE)</f>
        <v>6.2E-2</v>
      </c>
      <c r="I214" s="60">
        <f>VLOOKUP(C214,反转因子_zz800!A:V,13,FALSE)</f>
        <v>5.1999999999999998E-2</v>
      </c>
      <c r="J214" s="51"/>
      <c r="K214" s="2"/>
      <c r="L214" s="2"/>
      <c r="M214" s="46"/>
      <c r="N214" s="40"/>
      <c r="O214" s="40"/>
    </row>
    <row r="215" spans="1:15" ht="28.5">
      <c r="A215" s="40" t="s">
        <v>1624</v>
      </c>
      <c r="B215" s="49" t="s">
        <v>1722</v>
      </c>
      <c r="C215" s="41" t="s">
        <v>1723</v>
      </c>
      <c r="D215" s="42" t="s">
        <v>1791</v>
      </c>
      <c r="E215" s="40" t="s">
        <v>1762</v>
      </c>
      <c r="F215" s="42"/>
      <c r="G215" s="51"/>
      <c r="H215" s="60">
        <f>VLOOKUP(C215,反转因子_broad!A:V,13,FALSE)</f>
        <v>6.0999999999999999E-2</v>
      </c>
      <c r="I215" s="60">
        <f>VLOOKUP(C215,反转因子_zz800!A:V,13,FALSE)</f>
        <v>5.6000000000000001E-2</v>
      </c>
      <c r="J215" s="51"/>
      <c r="K215" s="42"/>
      <c r="L215" s="42"/>
      <c r="M215" s="62"/>
      <c r="N215" s="4"/>
      <c r="O215" s="41"/>
    </row>
    <row r="216" spans="1:15" ht="28.5">
      <c r="A216" s="40" t="s">
        <v>1624</v>
      </c>
      <c r="B216" s="49" t="s">
        <v>1722</v>
      </c>
      <c r="C216" s="41" t="s">
        <v>1724</v>
      </c>
      <c r="D216" s="42" t="s">
        <v>1792</v>
      </c>
      <c r="E216" s="40" t="s">
        <v>1762</v>
      </c>
      <c r="F216" s="42"/>
      <c r="G216" s="51"/>
      <c r="H216" s="60">
        <f>VLOOKUP(C216,反转因子_broad!A:V,13,FALSE)</f>
        <v>7.5999999999999998E-2</v>
      </c>
      <c r="I216" s="60">
        <f>VLOOKUP(C216,反转因子_zz800!A:V,13,FALSE)</f>
        <v>6.4000000000000001E-2</v>
      </c>
      <c r="J216" s="51"/>
      <c r="K216" s="42"/>
      <c r="L216" s="42"/>
      <c r="M216" s="62"/>
      <c r="N216" s="4"/>
      <c r="O216" s="41"/>
    </row>
    <row r="217" spans="1:15" ht="28.5">
      <c r="A217" s="40" t="s">
        <v>1624</v>
      </c>
      <c r="B217" s="49" t="s">
        <v>1722</v>
      </c>
      <c r="C217" s="41" t="s">
        <v>1725</v>
      </c>
      <c r="D217" s="42" t="s">
        <v>1793</v>
      </c>
      <c r="E217" s="40" t="s">
        <v>1762</v>
      </c>
      <c r="F217" s="42"/>
      <c r="G217" s="51"/>
      <c r="H217" s="60">
        <f>VLOOKUP(C217,反转因子_broad!A:V,13,FALSE)</f>
        <v>4.7E-2</v>
      </c>
      <c r="I217" s="60">
        <f>VLOOKUP(C217,反转因子_zz800!A:V,13,FALSE)</f>
        <v>4.9000000000000002E-2</v>
      </c>
      <c r="J217" s="51"/>
      <c r="K217" s="42"/>
      <c r="L217" s="42"/>
      <c r="M217" s="40"/>
      <c r="N217" s="49"/>
      <c r="O217" s="41"/>
    </row>
    <row r="218" spans="1:15" ht="28.5">
      <c r="A218" s="40" t="s">
        <v>1624</v>
      </c>
      <c r="B218" s="49" t="s">
        <v>1722</v>
      </c>
      <c r="C218" s="41" t="s">
        <v>1726</v>
      </c>
      <c r="D218" s="42" t="s">
        <v>1794</v>
      </c>
      <c r="E218" s="40" t="s">
        <v>1762</v>
      </c>
      <c r="F218" s="42"/>
      <c r="G218" s="51"/>
      <c r="H218" s="60">
        <f>VLOOKUP(C218,反转因子_broad!A:V,13,FALSE)</f>
        <v>7.3999999999999996E-2</v>
      </c>
      <c r="I218" s="60">
        <f>VLOOKUP(C218,反转因子_zz800!A:V,13,FALSE)</f>
        <v>6.7000000000000004E-2</v>
      </c>
      <c r="J218" s="51"/>
      <c r="K218" s="42"/>
      <c r="L218" s="42"/>
      <c r="M218" s="40"/>
      <c r="N218" s="49"/>
      <c r="O218" s="41"/>
    </row>
    <row r="219" spans="1:15" ht="28.5">
      <c r="A219" s="40" t="s">
        <v>1624</v>
      </c>
      <c r="B219" s="49" t="s">
        <v>1722</v>
      </c>
      <c r="C219" s="41" t="s">
        <v>1727</v>
      </c>
      <c r="D219" s="42" t="s">
        <v>1795</v>
      </c>
      <c r="E219" s="40" t="s">
        <v>1762</v>
      </c>
      <c r="F219" s="42"/>
      <c r="G219" s="51"/>
      <c r="H219" s="60">
        <f>VLOOKUP(C219,反转因子_broad!A:V,13,FALSE)</f>
        <v>6.8000000000000005E-2</v>
      </c>
      <c r="I219" s="60">
        <f>VLOOKUP(C219,反转因子_zz800!A:V,13,FALSE)</f>
        <v>5.8999999999999997E-2</v>
      </c>
      <c r="J219" s="51"/>
      <c r="K219" s="42"/>
      <c r="L219" s="42"/>
      <c r="M219" s="40"/>
      <c r="N219" s="49"/>
      <c r="O219" s="41"/>
    </row>
    <row r="220" spans="1:15">
      <c r="A220" s="40" t="s">
        <v>1624</v>
      </c>
      <c r="B220" s="49" t="s">
        <v>1722</v>
      </c>
      <c r="C220" s="41" t="s">
        <v>1728</v>
      </c>
      <c r="D220" s="42" t="s">
        <v>1729</v>
      </c>
      <c r="E220" s="40" t="s">
        <v>1762</v>
      </c>
      <c r="F220" s="42"/>
      <c r="G220" s="51"/>
      <c r="H220" s="60">
        <f>VLOOKUP(C220,反转因子_broad!A:V,13,FALSE)</f>
        <v>6.0999999999999999E-2</v>
      </c>
      <c r="I220" s="60">
        <f>VLOOKUP(C220,反转因子_zz800!A:V,13,FALSE)</f>
        <v>5.0999999999999997E-2</v>
      </c>
      <c r="J220" s="51"/>
      <c r="K220" s="42"/>
      <c r="L220" s="42"/>
      <c r="M220" s="40"/>
      <c r="N220" s="49"/>
      <c r="O220" s="41"/>
    </row>
    <row r="221" spans="1:15">
      <c r="A221" s="40" t="s">
        <v>1624</v>
      </c>
      <c r="B221" s="49" t="s">
        <v>1722</v>
      </c>
      <c r="C221" s="41" t="s">
        <v>1730</v>
      </c>
      <c r="D221" s="42" t="s">
        <v>1731</v>
      </c>
      <c r="E221" s="40" t="s">
        <v>1762</v>
      </c>
      <c r="F221" s="42"/>
      <c r="G221" s="51"/>
      <c r="H221" s="60">
        <f>VLOOKUP(C221,反转因子_broad!A:V,13,FALSE)</f>
        <v>7.0000000000000007E-2</v>
      </c>
      <c r="I221" s="60">
        <f>VLOOKUP(C221,反转因子_zz800!A:V,13,FALSE)</f>
        <v>5.5E-2</v>
      </c>
      <c r="J221" s="51"/>
      <c r="K221" s="42"/>
      <c r="L221" s="42"/>
      <c r="M221" s="62"/>
      <c r="N221" s="4"/>
      <c r="O221" s="41"/>
    </row>
    <row r="222" spans="1:15">
      <c r="A222" s="40" t="s">
        <v>1624</v>
      </c>
      <c r="B222" s="49" t="s">
        <v>1722</v>
      </c>
      <c r="C222" s="41" t="s">
        <v>1732</v>
      </c>
      <c r="D222" s="42" t="s">
        <v>1733</v>
      </c>
      <c r="E222" s="40" t="s">
        <v>1762</v>
      </c>
      <c r="F222" s="42"/>
      <c r="G222" s="51"/>
      <c r="H222" s="60">
        <f>VLOOKUP(C222,反转因子_broad!A:V,13,FALSE)</f>
        <v>4.8000000000000001E-2</v>
      </c>
      <c r="I222" s="60">
        <f>VLOOKUP(C222,反转因子_zz800!A:V,13,FALSE)</f>
        <v>4.4999999999999998E-2</v>
      </c>
      <c r="J222" s="51"/>
      <c r="K222" s="42"/>
      <c r="L222" s="42"/>
      <c r="M222" s="62"/>
      <c r="N222" s="4"/>
      <c r="O222" s="41"/>
    </row>
    <row r="223" spans="1:15">
      <c r="A223" s="40" t="s">
        <v>1624</v>
      </c>
      <c r="B223" s="49" t="s">
        <v>1722</v>
      </c>
      <c r="C223" s="41" t="s">
        <v>1734</v>
      </c>
      <c r="D223" s="42" t="s">
        <v>1735</v>
      </c>
      <c r="E223" s="40" t="s">
        <v>1762</v>
      </c>
      <c r="F223" s="42"/>
      <c r="G223" s="51"/>
      <c r="H223" s="61">
        <f>VLOOKUP(C223,反转因子_broad!A:V,13,FALSE)</f>
        <v>6.8000000000000005E-2</v>
      </c>
      <c r="I223" s="60">
        <f>VLOOKUP(C223,反转因子_zz800!A:V,13,FALSE)</f>
        <v>5.8000000000000003E-2</v>
      </c>
      <c r="J223" s="52"/>
      <c r="K223" s="42"/>
      <c r="L223" s="42"/>
      <c r="M223" s="62"/>
      <c r="N223" s="4"/>
      <c r="O223" s="41"/>
    </row>
    <row r="224" spans="1:15">
      <c r="A224" s="40" t="s">
        <v>1624</v>
      </c>
      <c r="B224" s="49" t="s">
        <v>1722</v>
      </c>
      <c r="C224" s="41" t="s">
        <v>1736</v>
      </c>
      <c r="D224" s="42" t="s">
        <v>1737</v>
      </c>
      <c r="E224" s="40" t="s">
        <v>1762</v>
      </c>
      <c r="F224" s="42"/>
      <c r="G224" s="51"/>
      <c r="H224" s="61">
        <f>VLOOKUP(C224,反转因子_broad!A:V,13,FALSE)</f>
        <v>6.5000000000000002E-2</v>
      </c>
      <c r="I224" s="60">
        <f>VLOOKUP(C224,反转因子_zz800!A:V,13,FALSE)</f>
        <v>5.1999999999999998E-2</v>
      </c>
      <c r="J224" s="52"/>
      <c r="K224" s="42"/>
      <c r="L224" s="42"/>
      <c r="M224" s="62"/>
      <c r="N224" s="4"/>
      <c r="O224" s="41"/>
    </row>
    <row r="225" spans="1:15">
      <c r="A225" s="40" t="s">
        <v>1624</v>
      </c>
      <c r="B225" s="49" t="s">
        <v>1722</v>
      </c>
      <c r="C225" s="41" t="s">
        <v>1738</v>
      </c>
      <c r="D225" s="42" t="s">
        <v>1739</v>
      </c>
      <c r="E225" s="40" t="s">
        <v>1762</v>
      </c>
      <c r="F225" s="42"/>
      <c r="G225" s="51"/>
      <c r="H225" s="61">
        <f>VLOOKUP(C225,反转因子_broad!A:V,13,FALSE)</f>
        <v>1.2999999999999999E-2</v>
      </c>
      <c r="I225" s="60">
        <f>VLOOKUP(C225,反转因子_zz800!A:V,13,FALSE)</f>
        <v>2.1999999999999999E-2</v>
      </c>
      <c r="J225" s="52"/>
      <c r="K225" s="42"/>
      <c r="L225" s="42"/>
      <c r="M225" s="62"/>
      <c r="N225" s="4"/>
      <c r="O225" s="41"/>
    </row>
    <row r="226" spans="1:15">
      <c r="A226" s="40" t="s">
        <v>1624</v>
      </c>
      <c r="B226" s="49" t="s">
        <v>1722</v>
      </c>
      <c r="C226" s="41" t="s">
        <v>1740</v>
      </c>
      <c r="D226" s="42" t="s">
        <v>1741</v>
      </c>
      <c r="E226" s="40" t="s">
        <v>1762</v>
      </c>
      <c r="F226" s="42"/>
      <c r="G226" s="51"/>
      <c r="H226" s="61">
        <f>VLOOKUP(C226,反转因子_broad!A:V,13,FALSE)</f>
        <v>4.3999999999999997E-2</v>
      </c>
      <c r="I226" s="60">
        <f>VLOOKUP(C226,反转因子_zz800!A:V,13,FALSE)</f>
        <v>4.3999999999999997E-2</v>
      </c>
      <c r="J226" s="52"/>
      <c r="K226" s="42"/>
      <c r="L226" s="42"/>
      <c r="M226" s="62"/>
      <c r="N226" s="4"/>
      <c r="O226" s="41"/>
    </row>
    <row r="227" spans="1:15">
      <c r="A227" s="40" t="s">
        <v>1624</v>
      </c>
      <c r="B227" s="49" t="s">
        <v>1722</v>
      </c>
      <c r="C227" s="41" t="s">
        <v>1742</v>
      </c>
      <c r="D227" s="42" t="s">
        <v>1743</v>
      </c>
      <c r="E227" s="40" t="s">
        <v>1762</v>
      </c>
      <c r="F227" s="42"/>
      <c r="G227" s="51"/>
      <c r="H227" s="61">
        <f>VLOOKUP(C227,反转因子_broad!A:V,13,FALSE)</f>
        <v>6.0000000000000001E-3</v>
      </c>
      <c r="I227" s="60">
        <f>VLOOKUP(C227,反转因子_zz800!A:V,13,FALSE)</f>
        <v>1.7000000000000001E-2</v>
      </c>
      <c r="J227" s="52"/>
      <c r="K227" s="42"/>
      <c r="L227" s="42"/>
      <c r="M227" s="62"/>
      <c r="N227" s="4"/>
      <c r="O227" s="41"/>
    </row>
    <row r="228" spans="1:15">
      <c r="A228" s="40" t="s">
        <v>1624</v>
      </c>
      <c r="B228" s="49" t="s">
        <v>1722</v>
      </c>
      <c r="C228" s="41" t="s">
        <v>1744</v>
      </c>
      <c r="D228" s="42" t="s">
        <v>1745</v>
      </c>
      <c r="E228" s="40" t="s">
        <v>1762</v>
      </c>
      <c r="F228" s="42"/>
      <c r="G228" s="51"/>
      <c r="H228" s="61">
        <f>VLOOKUP(C228,反转因子_broad!A:V,13,FALSE)</f>
        <v>3.1E-2</v>
      </c>
      <c r="I228" s="60">
        <f>VLOOKUP(C228,反转因子_zz800!A:V,13,FALSE)</f>
        <v>3.5999999999999997E-2</v>
      </c>
      <c r="J228" s="52"/>
      <c r="K228" s="42"/>
      <c r="L228" s="42"/>
      <c r="M228" s="62"/>
      <c r="N228" s="4"/>
      <c r="O228" s="41"/>
    </row>
    <row r="229" spans="1:15">
      <c r="A229" s="40" t="s">
        <v>1624</v>
      </c>
      <c r="B229" s="49" t="s">
        <v>1722</v>
      </c>
      <c r="C229" s="41" t="s">
        <v>1746</v>
      </c>
      <c r="D229" s="42" t="s">
        <v>1747</v>
      </c>
      <c r="E229" s="40" t="s">
        <v>1762</v>
      </c>
      <c r="F229" s="42"/>
      <c r="G229" s="51"/>
      <c r="H229" s="61">
        <f>VLOOKUP(C229,反转因子_broad!A:V,13,FALSE)</f>
        <v>0.02</v>
      </c>
      <c r="I229" s="60">
        <f>VLOOKUP(C229,反转因子_zz800!A:V,13,FALSE)</f>
        <v>2.7E-2</v>
      </c>
      <c r="J229" s="52"/>
      <c r="K229" s="42"/>
      <c r="L229" s="42"/>
      <c r="M229" s="62"/>
      <c r="N229" s="4"/>
      <c r="O229" s="41"/>
    </row>
    <row r="230" spans="1:15">
      <c r="A230" s="40" t="s">
        <v>208</v>
      </c>
      <c r="B230" s="49" t="s">
        <v>2300</v>
      </c>
      <c r="C230" s="41" t="s">
        <v>21</v>
      </c>
      <c r="D230" s="42" t="s">
        <v>299</v>
      </c>
      <c r="E230" s="42" t="s">
        <v>1762</v>
      </c>
      <c r="F230" s="42"/>
      <c r="G230" s="51"/>
      <c r="H230" s="61">
        <f>VLOOKUP(C230,反转因子_broad!A:V,13,FALSE)</f>
        <v>7.8E-2</v>
      </c>
      <c r="I230" s="60">
        <f>VLOOKUP(C230,反转因子_zz800!A:V,13,FALSE)</f>
        <v>6.4000000000000001E-2</v>
      </c>
      <c r="J230" s="52"/>
      <c r="K230" s="42"/>
      <c r="L230" s="2"/>
      <c r="M230" s="46"/>
      <c r="N230" s="40"/>
      <c r="O230" s="40"/>
    </row>
    <row r="231" spans="1:15">
      <c r="A231" s="40" t="s">
        <v>208</v>
      </c>
      <c r="B231" s="49" t="s">
        <v>2300</v>
      </c>
      <c r="C231" s="41" t="s">
        <v>22</v>
      </c>
      <c r="D231" s="42" t="s">
        <v>300</v>
      </c>
      <c r="E231" s="42" t="s">
        <v>1762</v>
      </c>
      <c r="F231" s="42"/>
      <c r="G231" s="51"/>
      <c r="H231" s="61">
        <f>VLOOKUP(C231,反转因子_broad!A:V,13,FALSE)</f>
        <v>7.0000000000000007E-2</v>
      </c>
      <c r="I231" s="60">
        <f>VLOOKUP(C231,反转因子_zz800!A:V,13,FALSE)</f>
        <v>5.7000000000000002E-2</v>
      </c>
      <c r="J231" s="52"/>
      <c r="K231" s="42"/>
      <c r="L231" s="2"/>
      <c r="M231" s="46"/>
      <c r="N231" s="40"/>
      <c r="O231" s="40"/>
    </row>
    <row r="232" spans="1:15">
      <c r="A232" s="40" t="s">
        <v>208</v>
      </c>
      <c r="B232" s="49" t="s">
        <v>2300</v>
      </c>
      <c r="C232" s="41" t="s">
        <v>20</v>
      </c>
      <c r="D232" s="42" t="s">
        <v>298</v>
      </c>
      <c r="E232" s="42" t="s">
        <v>1762</v>
      </c>
      <c r="F232" s="42"/>
      <c r="G232" s="51"/>
      <c r="H232" s="61">
        <f>VLOOKUP(C232,反转因子_broad!A:V,13,FALSE)</f>
        <v>7.2999999999999995E-2</v>
      </c>
      <c r="I232" s="60">
        <f>VLOOKUP(C232,反转因子_zz800!A:V,13,FALSE)</f>
        <v>5.2999999999999999E-2</v>
      </c>
      <c r="J232" s="52"/>
      <c r="K232" s="42"/>
      <c r="L232" s="2"/>
      <c r="M232" s="46"/>
      <c r="N232" s="40"/>
      <c r="O232" s="40"/>
    </row>
    <row r="233" spans="1:15" ht="28.5">
      <c r="A233" s="40" t="s">
        <v>1608</v>
      </c>
      <c r="B233" s="49" t="s">
        <v>1609</v>
      </c>
      <c r="C233" s="41" t="s">
        <v>1620</v>
      </c>
      <c r="D233" s="42" t="s">
        <v>1621</v>
      </c>
      <c r="E233" s="42" t="s">
        <v>1751</v>
      </c>
      <c r="F233" s="42"/>
      <c r="G233" s="51" t="s">
        <v>1625</v>
      </c>
      <c r="H233" s="61">
        <f>VLOOKUP(C233,反转因子_broad!A:V,13,FALSE)</f>
        <v>2.7E-2</v>
      </c>
      <c r="I233" s="60">
        <f>VLOOKUP(C233,反转因子_zz800!A:V,13,FALSE)</f>
        <v>2.3E-2</v>
      </c>
      <c r="J233" s="52"/>
      <c r="K233" s="42"/>
      <c r="L233" s="42"/>
      <c r="M233" s="62"/>
      <c r="N233" s="4"/>
      <c r="O233" s="41"/>
    </row>
    <row r="234" spans="1:15" ht="42.75">
      <c r="A234" s="40" t="s">
        <v>1608</v>
      </c>
      <c r="B234" s="49" t="s">
        <v>1609</v>
      </c>
      <c r="C234" s="41" t="s">
        <v>1613</v>
      </c>
      <c r="D234" s="42" t="s">
        <v>1614</v>
      </c>
      <c r="E234" s="42" t="s">
        <v>1751</v>
      </c>
      <c r="F234" s="42"/>
      <c r="G234" s="51" t="s">
        <v>1625</v>
      </c>
      <c r="H234" s="61">
        <f>VLOOKUP(C234,反转因子_broad!A:V,13,FALSE)</f>
        <v>2.5000000000000001E-2</v>
      </c>
      <c r="I234" s="60">
        <f>VLOOKUP(C234,反转因子_zz800!A:V,13,FALSE)</f>
        <v>2.1999999999999999E-2</v>
      </c>
      <c r="J234" s="52"/>
      <c r="K234" s="42"/>
      <c r="L234" s="42"/>
      <c r="M234" s="62"/>
      <c r="N234" s="4"/>
      <c r="O234" s="41"/>
    </row>
    <row r="235" spans="1:15" ht="42.75">
      <c r="A235" s="40" t="s">
        <v>1608</v>
      </c>
      <c r="B235" s="49" t="s">
        <v>1609</v>
      </c>
      <c r="C235" s="41" t="s">
        <v>1615</v>
      </c>
      <c r="D235" s="42" t="s">
        <v>1616</v>
      </c>
      <c r="E235" s="42" t="s">
        <v>1751</v>
      </c>
      <c r="F235" s="42"/>
      <c r="G235" s="51" t="s">
        <v>1625</v>
      </c>
      <c r="H235" s="61">
        <f>VLOOKUP(C235,反转因子_broad!A:V,13,FALSE)</f>
        <v>2.4E-2</v>
      </c>
      <c r="I235" s="60">
        <f>VLOOKUP(C235,反转因子_zz800!A:V,13,FALSE)</f>
        <v>2.1999999999999999E-2</v>
      </c>
      <c r="J235" s="52"/>
      <c r="K235" s="42"/>
      <c r="L235" s="42"/>
      <c r="M235" s="62"/>
      <c r="N235" s="4"/>
      <c r="O235" s="41"/>
    </row>
    <row r="236" spans="1:15" ht="28.5">
      <c r="A236" s="40" t="s">
        <v>1608</v>
      </c>
      <c r="B236" s="49" t="s">
        <v>1609</v>
      </c>
      <c r="C236" s="41" t="s">
        <v>1617</v>
      </c>
      <c r="D236" s="42" t="s">
        <v>1618</v>
      </c>
      <c r="E236" s="42" t="s">
        <v>1751</v>
      </c>
      <c r="F236" s="42"/>
      <c r="G236" s="51" t="s">
        <v>1625</v>
      </c>
      <c r="H236" s="61">
        <f>VLOOKUP(C236,反转因子_broad!A:V,13,FALSE)</f>
        <v>2.5999999999999999E-2</v>
      </c>
      <c r="I236" s="60">
        <f>VLOOKUP(C236,反转因子_zz800!A:V,13,FALSE)</f>
        <v>2.1999999999999999E-2</v>
      </c>
      <c r="J236" s="52"/>
      <c r="K236" s="42"/>
      <c r="L236" s="42"/>
      <c r="M236" s="62"/>
      <c r="N236" s="4"/>
      <c r="O236" s="41"/>
    </row>
    <row r="237" spans="1:15" ht="28.5">
      <c r="A237" s="40" t="s">
        <v>1608</v>
      </c>
      <c r="B237" s="49" t="s">
        <v>1609</v>
      </c>
      <c r="C237" s="41" t="s">
        <v>1622</v>
      </c>
      <c r="D237" s="42" t="s">
        <v>1623</v>
      </c>
      <c r="E237" s="42" t="s">
        <v>1751</v>
      </c>
      <c r="F237" s="42"/>
      <c r="G237" s="51" t="s">
        <v>1625</v>
      </c>
      <c r="H237" s="61">
        <f>VLOOKUP(C237,反转因子_broad!A:V,13,FALSE)</f>
        <v>2.7E-2</v>
      </c>
      <c r="I237" s="60">
        <f>VLOOKUP(C237,反转因子_zz800!A:V,13,FALSE)</f>
        <v>2.1999999999999999E-2</v>
      </c>
      <c r="J237" s="52"/>
      <c r="K237" s="42"/>
      <c r="L237" s="42"/>
      <c r="M237" s="62"/>
      <c r="N237" s="4"/>
      <c r="O237" s="41"/>
    </row>
    <row r="238" spans="1:15" ht="57">
      <c r="A238" s="40" t="s">
        <v>1608</v>
      </c>
      <c r="B238" s="49" t="s">
        <v>1609</v>
      </c>
      <c r="C238" s="41" t="s">
        <v>1588</v>
      </c>
      <c r="D238" s="42" t="s">
        <v>1801</v>
      </c>
      <c r="E238" s="40" t="s">
        <v>1753</v>
      </c>
      <c r="F238" s="42"/>
      <c r="G238" s="51" t="s">
        <v>1625</v>
      </c>
      <c r="H238" s="61">
        <f>VLOOKUP(C238,反转因子_broad!A:V,13,FALSE)</f>
        <v>1.4999999999999999E-2</v>
      </c>
      <c r="I238" s="60">
        <f>VLOOKUP(C238,反转因子_zz800!A:V,13,FALSE)</f>
        <v>2.1000000000000001E-2</v>
      </c>
      <c r="J238" s="52"/>
      <c r="K238" s="42"/>
      <c r="L238" s="42"/>
      <c r="M238" s="62"/>
      <c r="N238" s="4"/>
      <c r="O238" s="41"/>
    </row>
    <row r="239" spans="1:15" ht="57">
      <c r="A239" s="40" t="s">
        <v>1608</v>
      </c>
      <c r="B239" s="49" t="s">
        <v>1609</v>
      </c>
      <c r="C239" s="41" t="s">
        <v>1805</v>
      </c>
      <c r="D239" s="42" t="s">
        <v>1804</v>
      </c>
      <c r="E239" s="40" t="s">
        <v>1753</v>
      </c>
      <c r="F239" s="42"/>
      <c r="G239" s="51" t="s">
        <v>1625</v>
      </c>
      <c r="H239" s="61">
        <f>VLOOKUP(C239,反转因子_broad!A:V,13,FALSE)</f>
        <v>1.4999999999999999E-2</v>
      </c>
      <c r="I239" s="60">
        <f>VLOOKUP(C239,反转因子_zz800!A:V,13,FALSE)</f>
        <v>2.1000000000000001E-2</v>
      </c>
      <c r="J239" s="52"/>
      <c r="K239" s="42"/>
      <c r="L239" s="42"/>
      <c r="M239" s="62"/>
      <c r="N239" s="4"/>
      <c r="O239" s="41"/>
    </row>
    <row r="240" spans="1:15" ht="42.75">
      <c r="A240" s="40" t="s">
        <v>1608</v>
      </c>
      <c r="B240" s="49" t="s">
        <v>1609</v>
      </c>
      <c r="C240" s="41" t="s">
        <v>1610</v>
      </c>
      <c r="D240" s="42" t="s">
        <v>1611</v>
      </c>
      <c r="E240" s="42" t="s">
        <v>1751</v>
      </c>
      <c r="F240" s="42"/>
      <c r="G240" s="51" t="s">
        <v>1625</v>
      </c>
      <c r="H240" s="61">
        <f>VLOOKUP(C240,反转因子_broad!A:V,13,FALSE)</f>
        <v>2.3E-2</v>
      </c>
      <c r="I240" s="60">
        <f>VLOOKUP(C240,反转因子_zz800!A:V,13,FALSE)</f>
        <v>0.02</v>
      </c>
      <c r="J240" s="52"/>
      <c r="K240" s="42"/>
      <c r="L240" s="42"/>
      <c r="M240" s="62"/>
      <c r="N240" s="4"/>
      <c r="O240" s="41"/>
    </row>
    <row r="241" spans="1:15" ht="28.5">
      <c r="A241" s="40" t="s">
        <v>1608</v>
      </c>
      <c r="B241" s="49" t="s">
        <v>1609</v>
      </c>
      <c r="C241" s="41" t="s">
        <v>1619</v>
      </c>
      <c r="D241" s="42" t="s">
        <v>1585</v>
      </c>
      <c r="E241" s="42" t="s">
        <v>1751</v>
      </c>
      <c r="F241" s="42"/>
      <c r="G241" s="51"/>
      <c r="H241" s="61">
        <f>VLOOKUP(C241,反转因子_broad!A:V,13,FALSE)</f>
        <v>0.02</v>
      </c>
      <c r="I241" s="60">
        <f>VLOOKUP(C241,反转因子_zz800!A:V,13,FALSE)</f>
        <v>0.02</v>
      </c>
      <c r="J241" s="52"/>
      <c r="K241" s="42"/>
      <c r="L241" s="42"/>
      <c r="M241" s="62"/>
      <c r="N241" s="4"/>
      <c r="O241" s="41"/>
    </row>
    <row r="242" spans="1:15" ht="57">
      <c r="A242" s="40" t="s">
        <v>1608</v>
      </c>
      <c r="B242" s="49" t="s">
        <v>1609</v>
      </c>
      <c r="C242" s="41" t="s">
        <v>1754</v>
      </c>
      <c r="D242" s="42" t="s">
        <v>1803</v>
      </c>
      <c r="E242" s="40" t="s">
        <v>1753</v>
      </c>
      <c r="F242" s="42"/>
      <c r="G242" s="51" t="s">
        <v>1625</v>
      </c>
      <c r="H242" s="60">
        <f>VLOOKUP(C242,反转因子_broad!A:V,13,FALSE)</f>
        <v>1.4999999999999999E-2</v>
      </c>
      <c r="I242" s="60">
        <f>VLOOKUP(C242,反转因子_zz800!A:V,13,FALSE)</f>
        <v>0.02</v>
      </c>
      <c r="J242" s="51"/>
      <c r="K242" s="42"/>
      <c r="L242" s="42"/>
      <c r="M242" s="62"/>
      <c r="N242" s="4"/>
      <c r="O242" s="41"/>
    </row>
    <row r="243" spans="1:15" ht="42.75">
      <c r="A243" s="40" t="s">
        <v>1608</v>
      </c>
      <c r="B243" s="49" t="s">
        <v>1609</v>
      </c>
      <c r="C243" s="41" t="s">
        <v>1612</v>
      </c>
      <c r="D243" s="42" t="s">
        <v>1584</v>
      </c>
      <c r="E243" s="42" t="s">
        <v>1751</v>
      </c>
      <c r="F243" s="42"/>
      <c r="G243" s="51"/>
      <c r="H243" s="60">
        <f>VLOOKUP(C243,反转因子_broad!A:V,13,FALSE)</f>
        <v>1.9E-2</v>
      </c>
      <c r="I243" s="60">
        <f>VLOOKUP(C243,反转因子_zz800!A:V,13,FALSE)</f>
        <v>1.7000000000000001E-2</v>
      </c>
      <c r="J243" s="51"/>
      <c r="K243" s="42"/>
      <c r="L243" s="42"/>
      <c r="M243" s="62"/>
      <c r="N243" s="4"/>
      <c r="O243" s="41"/>
    </row>
    <row r="244" spans="1:15" ht="57">
      <c r="A244" s="40" t="s">
        <v>1608</v>
      </c>
      <c r="B244" s="49" t="s">
        <v>1609</v>
      </c>
      <c r="C244" s="41" t="s">
        <v>1589</v>
      </c>
      <c r="D244" s="42" t="s">
        <v>1802</v>
      </c>
      <c r="E244" s="40" t="s">
        <v>1753</v>
      </c>
      <c r="F244" s="42"/>
      <c r="G244" s="51"/>
      <c r="H244" s="60">
        <f>VLOOKUP(C244,反转因子_broad!A:V,13,FALSE)</f>
        <v>1.4E-2</v>
      </c>
      <c r="I244" s="60">
        <f>VLOOKUP(C244,反转因子_zz800!A:V,13,FALSE)</f>
        <v>1.7000000000000001E-2</v>
      </c>
      <c r="J244" s="51"/>
      <c r="K244" s="42"/>
      <c r="L244" s="42"/>
      <c r="M244" s="62"/>
      <c r="N244" s="4"/>
      <c r="O244" s="41"/>
    </row>
    <row r="245" spans="1:15">
      <c r="A245" s="40" t="s">
        <v>1608</v>
      </c>
      <c r="B245" s="49" t="s">
        <v>1609</v>
      </c>
      <c r="C245" s="41" t="s">
        <v>1594</v>
      </c>
      <c r="D245" s="42" t="s">
        <v>1632</v>
      </c>
      <c r="E245" s="40" t="s">
        <v>1762</v>
      </c>
      <c r="F245" s="42"/>
      <c r="G245" s="51" t="s">
        <v>1625</v>
      </c>
      <c r="H245" s="60">
        <f>VLOOKUP(C245,反转因子_broad!A:V,13,FALSE)</f>
        <v>0</v>
      </c>
      <c r="I245" s="60">
        <f>VLOOKUP(C245,反转因子_zz800!A:V,13,FALSE)</f>
        <v>8.0000000000000002E-3</v>
      </c>
      <c r="J245" s="51"/>
      <c r="K245" s="42"/>
      <c r="L245" s="42"/>
      <c r="M245" s="62"/>
      <c r="N245" s="4"/>
      <c r="O245" s="41"/>
    </row>
    <row r="246" spans="1:15" ht="28.5">
      <c r="A246" s="40" t="s">
        <v>1608</v>
      </c>
      <c r="B246" s="49" t="s">
        <v>1609</v>
      </c>
      <c r="C246" s="41" t="s">
        <v>1626</v>
      </c>
      <c r="D246" s="42" t="s">
        <v>1627</v>
      </c>
      <c r="E246" s="40" t="s">
        <v>1628</v>
      </c>
      <c r="F246" s="42" t="s">
        <v>1629</v>
      </c>
      <c r="G246" s="51"/>
      <c r="H246" s="60">
        <f>VLOOKUP(C246,反转因子_broad!A:V,13,FALSE)</f>
        <v>-5.0000000000000001E-3</v>
      </c>
      <c r="I246" s="60">
        <f>VLOOKUP(C246,反转因子_zz800!A:V,13,FALSE)</f>
        <v>6.0000000000000001E-3</v>
      </c>
      <c r="J246" s="51"/>
      <c r="K246" s="42"/>
      <c r="L246" s="42"/>
      <c r="M246" s="62"/>
      <c r="N246" s="4"/>
      <c r="O246" s="41"/>
    </row>
    <row r="247" spans="1:15">
      <c r="A247" s="40" t="s">
        <v>208</v>
      </c>
      <c r="B247" s="49" t="s">
        <v>219</v>
      </c>
      <c r="C247" s="41" t="s">
        <v>669</v>
      </c>
      <c r="D247" s="42" t="s">
        <v>670</v>
      </c>
      <c r="E247" s="43" t="s">
        <v>617</v>
      </c>
      <c r="F247" s="42" t="s">
        <v>655</v>
      </c>
      <c r="G247" s="51"/>
      <c r="H247" s="60">
        <f>VLOOKUP(C247,反转因子_broad!A:V,13,FALSE)</f>
        <v>-1E-3</v>
      </c>
      <c r="I247" s="60">
        <f>VLOOKUP(C247,反转因子_zz800!A:V,13,FALSE)</f>
        <v>3.0000000000000001E-3</v>
      </c>
      <c r="J247" s="51"/>
      <c r="K247" s="42"/>
      <c r="L247" s="2"/>
      <c r="M247" s="46"/>
      <c r="N247" s="40"/>
      <c r="O247" s="40"/>
    </row>
    <row r="248" spans="1:15">
      <c r="A248" s="40" t="s">
        <v>1608</v>
      </c>
      <c r="B248" s="49" t="s">
        <v>1609</v>
      </c>
      <c r="C248" s="41" t="s">
        <v>1592</v>
      </c>
      <c r="D248" s="42" t="s">
        <v>1630</v>
      </c>
      <c r="E248" s="40" t="s">
        <v>1762</v>
      </c>
      <c r="F248" s="42"/>
      <c r="G248" s="51" t="s">
        <v>1625</v>
      </c>
      <c r="H248" s="60">
        <f>VLOOKUP(C248,反转因子_broad!A:V,13,FALSE)</f>
        <v>-7.0000000000000001E-3</v>
      </c>
      <c r="I248" s="60">
        <f>VLOOKUP(C248,反转因子_zz800!A:V,13,FALSE)</f>
        <v>0</v>
      </c>
      <c r="J248" s="51"/>
      <c r="K248" s="42"/>
      <c r="L248" s="42"/>
      <c r="M248" s="62"/>
      <c r="N248" s="4"/>
      <c r="O248" s="41"/>
    </row>
    <row r="249" spans="1:15" ht="28.5">
      <c r="A249" s="40" t="s">
        <v>208</v>
      </c>
      <c r="B249" s="49" t="s">
        <v>219</v>
      </c>
      <c r="C249" s="41" t="s">
        <v>224</v>
      </c>
      <c r="D249" s="42" t="s">
        <v>225</v>
      </c>
      <c r="E249" s="42" t="s">
        <v>671</v>
      </c>
      <c r="F249" s="42"/>
      <c r="G249" s="51"/>
      <c r="H249" s="60">
        <f>VLOOKUP(C249,反转因子_broad!A:V,13,FALSE)</f>
        <v>-8.0000000000000002E-3</v>
      </c>
      <c r="I249" s="60">
        <f>VLOOKUP(C249,反转因子_zz800!A:V,13,FALSE)</f>
        <v>-1E-3</v>
      </c>
      <c r="J249" s="51"/>
      <c r="K249" s="42"/>
      <c r="L249" s="2"/>
      <c r="M249" s="46"/>
      <c r="N249" s="40"/>
      <c r="O249" s="40"/>
    </row>
    <row r="250" spans="1:15" ht="28.5">
      <c r="A250" s="40" t="s">
        <v>208</v>
      </c>
      <c r="B250" s="49" t="s">
        <v>219</v>
      </c>
      <c r="C250" s="41" t="s">
        <v>222</v>
      </c>
      <c r="D250" s="42" t="s">
        <v>223</v>
      </c>
      <c r="E250" s="42" t="s">
        <v>671</v>
      </c>
      <c r="F250" s="42" t="s">
        <v>655</v>
      </c>
      <c r="G250" s="51"/>
      <c r="H250" s="60">
        <f>VLOOKUP(C250,反转因子_broad!A:V,13,FALSE)</f>
        <v>-8.0000000000000002E-3</v>
      </c>
      <c r="I250" s="60">
        <f>VLOOKUP(C250,反转因子_zz800!A:V,13,FALSE)</f>
        <v>-2E-3</v>
      </c>
      <c r="J250" s="51"/>
      <c r="K250" s="42"/>
      <c r="L250" s="2"/>
      <c r="M250" s="46"/>
      <c r="N250" s="40"/>
      <c r="O250" s="40"/>
    </row>
    <row r="251" spans="1:15" ht="28.5">
      <c r="A251" s="40" t="s">
        <v>208</v>
      </c>
      <c r="B251" s="49" t="s">
        <v>219</v>
      </c>
      <c r="C251" s="41" t="s">
        <v>1806</v>
      </c>
      <c r="D251" s="42" t="s">
        <v>227</v>
      </c>
      <c r="E251" s="42" t="s">
        <v>671</v>
      </c>
      <c r="F251" s="42"/>
      <c r="G251" s="51"/>
      <c r="H251" s="60">
        <f>VLOOKUP(C251,反转因子_broad!A:V,13,FALSE)</f>
        <v>-8.9999999999999993E-3</v>
      </c>
      <c r="I251" s="60">
        <f>VLOOKUP(C251,反转因子_zz800!A:V,13,FALSE)</f>
        <v>-2E-3</v>
      </c>
      <c r="J251" s="51"/>
      <c r="K251" s="42"/>
      <c r="L251" s="2"/>
      <c r="M251" s="46"/>
      <c r="N251" s="40"/>
      <c r="O251" s="40"/>
    </row>
    <row r="252" spans="1:15">
      <c r="A252" s="40" t="s">
        <v>1608</v>
      </c>
      <c r="B252" s="49" t="s">
        <v>1609</v>
      </c>
      <c r="C252" s="41" t="s">
        <v>1593</v>
      </c>
      <c r="D252" s="42" t="s">
        <v>1631</v>
      </c>
      <c r="E252" s="40" t="s">
        <v>1762</v>
      </c>
      <c r="F252" s="42"/>
      <c r="G252" s="51" t="s">
        <v>1625</v>
      </c>
      <c r="H252" s="60">
        <f>VLOOKUP(C252,反转因子_broad!A:V,13,FALSE)</f>
        <v>-0.01</v>
      </c>
      <c r="I252" s="60">
        <f>VLOOKUP(C252,反转因子_zz800!A:V,13,FALSE)</f>
        <v>-2E-3</v>
      </c>
      <c r="J252" s="51"/>
      <c r="K252" s="42"/>
      <c r="L252" s="42"/>
      <c r="M252" s="62"/>
      <c r="N252" s="4"/>
      <c r="O252" s="41"/>
    </row>
    <row r="253" spans="1:15" ht="28.5">
      <c r="A253" s="40" t="s">
        <v>208</v>
      </c>
      <c r="B253" s="49" t="s">
        <v>219</v>
      </c>
      <c r="C253" s="41" t="s">
        <v>220</v>
      </c>
      <c r="D253" s="42" t="s">
        <v>221</v>
      </c>
      <c r="E253" s="42" t="s">
        <v>671</v>
      </c>
      <c r="F253" s="42" t="s">
        <v>655</v>
      </c>
      <c r="G253" s="51"/>
      <c r="H253" s="60">
        <f>VLOOKUP(C253,反转因子_broad!A:V,13,FALSE)</f>
        <v>-0.01</v>
      </c>
      <c r="I253" s="60">
        <f>VLOOKUP(C253,反转因子_zz800!A:V,13,FALSE)</f>
        <v>-3.0000000000000001E-3</v>
      </c>
      <c r="J253" s="51"/>
      <c r="K253" s="42"/>
      <c r="L253" s="2"/>
      <c r="M253" s="46"/>
      <c r="N253" s="40"/>
      <c r="O253" s="40"/>
    </row>
    <row r="254" spans="1:15">
      <c r="A254" s="40" t="s">
        <v>208</v>
      </c>
      <c r="B254" s="49" t="s">
        <v>219</v>
      </c>
      <c r="C254" s="41" t="s">
        <v>272</v>
      </c>
      <c r="D254" s="42" t="s">
        <v>273</v>
      </c>
      <c r="E254" s="42" t="s">
        <v>1761</v>
      </c>
      <c r="F254" s="42"/>
      <c r="G254" s="51"/>
      <c r="H254" s="60">
        <f>VLOOKUP(C254,反转因子_broad!A:V,13,FALSE)</f>
        <v>-2.5000000000000001E-2</v>
      </c>
      <c r="I254" s="60">
        <f>VLOOKUP(C254,反转因子_zz800!A:V,13,FALSE)</f>
        <v>-8.9999999999999993E-3</v>
      </c>
      <c r="J254" s="51"/>
      <c r="K254" s="42"/>
      <c r="L254" s="2"/>
      <c r="M254" s="46"/>
      <c r="N254" s="40"/>
      <c r="O254" s="40"/>
    </row>
    <row r="255" spans="1:15">
      <c r="A255" s="40" t="s">
        <v>1608</v>
      </c>
      <c r="B255" s="49" t="s">
        <v>1609</v>
      </c>
      <c r="C255" s="41" t="s">
        <v>1596</v>
      </c>
      <c r="D255" s="42" t="s">
        <v>1595</v>
      </c>
      <c r="E255" s="40" t="s">
        <v>1762</v>
      </c>
      <c r="F255" s="42"/>
      <c r="G255" s="51"/>
      <c r="H255" s="60">
        <f>VLOOKUP(C255,反转因子_broad!A:V,13,FALSE)</f>
        <v>-1.7000000000000001E-2</v>
      </c>
      <c r="I255" s="60">
        <f>VLOOKUP(C255,反转因子_zz800!A:V,13,FALSE)</f>
        <v>-1.4999999999999999E-2</v>
      </c>
      <c r="J255" s="51"/>
      <c r="K255" s="42"/>
      <c r="L255" s="42"/>
      <c r="M255" s="62"/>
      <c r="N255" s="4"/>
      <c r="O255" s="41"/>
    </row>
    <row r="256" spans="1:15">
      <c r="A256" s="40" t="s">
        <v>208</v>
      </c>
      <c r="B256" s="49" t="s">
        <v>17</v>
      </c>
      <c r="C256" s="41" t="s">
        <v>286</v>
      </c>
      <c r="D256" s="42" t="s">
        <v>287</v>
      </c>
      <c r="E256" s="42" t="s">
        <v>1762</v>
      </c>
      <c r="F256" s="42"/>
      <c r="G256" s="51"/>
      <c r="H256" s="60">
        <f>VLOOKUP(C256,反转因子_broad!A:V,13,FALSE)</f>
        <v>6.3E-2</v>
      </c>
      <c r="I256" s="60">
        <f>VLOOKUP(C256,反转因子_zz800!A:V,13,FALSE)</f>
        <v>4.7E-2</v>
      </c>
      <c r="J256" s="51"/>
      <c r="K256" s="42"/>
      <c r="L256" s="2"/>
      <c r="M256" s="46"/>
      <c r="N256" s="40"/>
      <c r="O256" s="40"/>
    </row>
    <row r="257" spans="1:15">
      <c r="A257" s="40" t="s">
        <v>208</v>
      </c>
      <c r="B257" s="49" t="s">
        <v>17</v>
      </c>
      <c r="C257" s="41" t="s">
        <v>296</v>
      </c>
      <c r="D257" s="42" t="s">
        <v>297</v>
      </c>
      <c r="E257" s="42" t="s">
        <v>1762</v>
      </c>
      <c r="F257" s="42"/>
      <c r="G257" s="51"/>
      <c r="H257" s="60">
        <f>VLOOKUP(C257,反转因子_broad!A:V,13,FALSE)</f>
        <v>6.3E-2</v>
      </c>
      <c r="I257" s="60">
        <f>VLOOKUP(C257,反转因子_zz800!A:V,13,FALSE)</f>
        <v>4.7E-2</v>
      </c>
      <c r="J257" s="51"/>
      <c r="K257" s="42"/>
      <c r="L257" s="2"/>
      <c r="M257" s="46"/>
      <c r="N257" s="40"/>
      <c r="O257" s="40"/>
    </row>
    <row r="258" spans="1:15">
      <c r="A258" s="40" t="s">
        <v>1646</v>
      </c>
      <c r="B258" s="49" t="s">
        <v>1647</v>
      </c>
      <c r="C258" s="41" t="s">
        <v>1652</v>
      </c>
      <c r="D258" s="42" t="s">
        <v>1653</v>
      </c>
      <c r="E258" s="40" t="s">
        <v>1650</v>
      </c>
      <c r="F258" s="42" t="s">
        <v>1651</v>
      </c>
      <c r="G258" s="51"/>
      <c r="H258" s="60">
        <f>VLOOKUP(C258,反转因子_broad!A:V,13,FALSE)</f>
        <v>4.2999999999999997E-2</v>
      </c>
      <c r="I258" s="60">
        <f>VLOOKUP(C258,反转因子_zz800!A:V,13,FALSE)</f>
        <v>3.6999999999999998E-2</v>
      </c>
      <c r="J258" s="51"/>
      <c r="K258" s="42"/>
      <c r="L258" s="42"/>
      <c r="M258" s="62"/>
      <c r="N258" s="4"/>
      <c r="O258" s="41"/>
    </row>
    <row r="259" spans="1:15">
      <c r="A259" s="40" t="s">
        <v>1646</v>
      </c>
      <c r="B259" s="49" t="s">
        <v>1647</v>
      </c>
      <c r="C259" s="41" t="s">
        <v>1654</v>
      </c>
      <c r="D259" s="42" t="s">
        <v>1653</v>
      </c>
      <c r="E259" s="40" t="s">
        <v>1655</v>
      </c>
      <c r="F259" s="42" t="s">
        <v>1651</v>
      </c>
      <c r="G259" s="51"/>
      <c r="H259" s="60">
        <f>VLOOKUP(C259,反转因子_broad!A:V,13,FALSE)</f>
        <v>4.1000000000000002E-2</v>
      </c>
      <c r="I259" s="60">
        <f>VLOOKUP(C259,反转因子_zz800!A:V,13,FALSE)</f>
        <v>3.5999999999999997E-2</v>
      </c>
      <c r="J259" s="51"/>
      <c r="K259" s="42"/>
      <c r="L259" s="42"/>
      <c r="M259" s="62"/>
      <c r="N259" s="4"/>
      <c r="O259" s="41"/>
    </row>
    <row r="260" spans="1:15">
      <c r="A260" s="40" t="s">
        <v>1646</v>
      </c>
      <c r="B260" s="49" t="s">
        <v>1647</v>
      </c>
      <c r="C260" s="41" t="s">
        <v>1648</v>
      </c>
      <c r="D260" s="42" t="s">
        <v>1649</v>
      </c>
      <c r="E260" s="40" t="s">
        <v>1650</v>
      </c>
      <c r="F260" s="42" t="s">
        <v>1651</v>
      </c>
      <c r="G260" s="51"/>
      <c r="H260" s="60">
        <f>VLOOKUP(C260,反转因子_broad!A:V,13,FALSE)</f>
        <v>3.7999999999999999E-2</v>
      </c>
      <c r="I260" s="60">
        <f>VLOOKUP(C260,反转因子_zz800!A:V,13,FALSE)</f>
        <v>3.3000000000000002E-2</v>
      </c>
      <c r="J260" s="51"/>
      <c r="K260" s="42"/>
      <c r="L260" s="42"/>
      <c r="M260" s="62"/>
      <c r="N260" s="4"/>
      <c r="O260" s="41"/>
    </row>
    <row r="261" spans="1:15">
      <c r="A261" s="40" t="s">
        <v>1646</v>
      </c>
      <c r="B261" s="49" t="s">
        <v>1647</v>
      </c>
      <c r="C261" s="41" t="s">
        <v>1667</v>
      </c>
      <c r="D261" s="42" t="s">
        <v>1668</v>
      </c>
      <c r="E261" s="40" t="s">
        <v>1762</v>
      </c>
      <c r="F261" s="42"/>
      <c r="G261" s="51"/>
      <c r="H261" s="60">
        <f>VLOOKUP(C261,反转因子_broad!A:V,13,FALSE)</f>
        <v>3.5999999999999997E-2</v>
      </c>
      <c r="I261" s="60">
        <f>VLOOKUP(C261,反转因子_zz800!A:V,13,FALSE)</f>
        <v>2.1000000000000001E-2</v>
      </c>
      <c r="J261" s="51"/>
      <c r="K261" s="42"/>
      <c r="L261" s="42"/>
      <c r="M261" s="40"/>
      <c r="N261" s="49"/>
      <c r="O261" s="41"/>
    </row>
    <row r="262" spans="1:15">
      <c r="A262" s="40" t="s">
        <v>1646</v>
      </c>
      <c r="B262" s="49" t="s">
        <v>1647</v>
      </c>
      <c r="C262" s="41" t="s">
        <v>1669</v>
      </c>
      <c r="D262" s="42" t="s">
        <v>1670</v>
      </c>
      <c r="E262" s="40" t="s">
        <v>1762</v>
      </c>
      <c r="F262" s="42"/>
      <c r="G262" s="51"/>
      <c r="H262" s="60">
        <f>VLOOKUP(C262,反转因子_broad!A:V,13,FALSE)</f>
        <v>1.2999999999999999E-2</v>
      </c>
      <c r="I262" s="60">
        <f>VLOOKUP(C262,反转因子_zz800!A:V,13,FALSE)</f>
        <v>3.0000000000000001E-3</v>
      </c>
      <c r="J262" s="51"/>
      <c r="K262" s="42"/>
      <c r="L262" s="42"/>
      <c r="M262" s="40"/>
      <c r="N262" s="49"/>
      <c r="O262" s="41"/>
    </row>
    <row r="263" spans="1:15">
      <c r="A263" s="40" t="s">
        <v>1646</v>
      </c>
      <c r="B263" s="49" t="s">
        <v>1647</v>
      </c>
      <c r="C263" s="41" t="s">
        <v>1671</v>
      </c>
      <c r="D263" s="42" t="s">
        <v>1672</v>
      </c>
      <c r="E263" s="40" t="s">
        <v>1762</v>
      </c>
      <c r="F263" s="42"/>
      <c r="G263" s="51"/>
      <c r="H263" s="60">
        <f>VLOOKUP(C263,反转因子_broad!A:V,13,FALSE)</f>
        <v>6.5000000000000002E-2</v>
      </c>
      <c r="I263" s="60">
        <f>VLOOKUP(C263,反转因子_zz800!A:V,13,FALSE)</f>
        <v>4.9000000000000002E-2</v>
      </c>
      <c r="J263" s="51"/>
      <c r="K263" s="42"/>
      <c r="L263" s="42"/>
      <c r="M263" s="40"/>
      <c r="N263" s="49"/>
      <c r="O263" s="41"/>
    </row>
    <row r="264" spans="1:15">
      <c r="A264" s="40" t="s">
        <v>1646</v>
      </c>
      <c r="B264" s="49" t="s">
        <v>1647</v>
      </c>
      <c r="C264" s="41" t="s">
        <v>1673</v>
      </c>
      <c r="D264" s="42" t="s">
        <v>1674</v>
      </c>
      <c r="E264" s="40" t="s">
        <v>1762</v>
      </c>
      <c r="F264" s="42"/>
      <c r="G264" s="51"/>
      <c r="H264" s="60">
        <f>VLOOKUP(C264,反转因子_broad!A:V,13,FALSE)</f>
        <v>3.5000000000000003E-2</v>
      </c>
      <c r="I264" s="60">
        <f>VLOOKUP(C264,反转因子_zz800!A:V,13,FALSE)</f>
        <v>0.02</v>
      </c>
      <c r="J264" s="51"/>
      <c r="K264" s="42"/>
      <c r="L264" s="42"/>
      <c r="M264" s="40"/>
      <c r="N264" s="49"/>
      <c r="O264" s="41"/>
    </row>
    <row r="265" spans="1:15">
      <c r="A265" s="40" t="s">
        <v>1646</v>
      </c>
      <c r="B265" s="49" t="s">
        <v>1647</v>
      </c>
      <c r="C265" s="41" t="s">
        <v>1675</v>
      </c>
      <c r="D265" s="42" t="s">
        <v>1676</v>
      </c>
      <c r="E265" s="40" t="s">
        <v>1762</v>
      </c>
      <c r="F265" s="42"/>
      <c r="G265" s="51"/>
      <c r="H265" s="60">
        <f>VLOOKUP(C265,反转因子_broad!A:V,13,FALSE)</f>
        <v>1.7000000000000001E-2</v>
      </c>
      <c r="I265" s="60">
        <f>VLOOKUP(C265,反转因子_zz800!A:V,13,FALSE)</f>
        <v>7.0000000000000001E-3</v>
      </c>
      <c r="J265" s="51"/>
      <c r="K265" s="42"/>
      <c r="L265" s="42"/>
      <c r="M265" s="40"/>
      <c r="N265" s="49"/>
      <c r="O265" s="41"/>
    </row>
    <row r="266" spans="1:15">
      <c r="A266" s="40" t="s">
        <v>1646</v>
      </c>
      <c r="B266" s="49" t="s">
        <v>1647</v>
      </c>
      <c r="C266" s="41" t="s">
        <v>1677</v>
      </c>
      <c r="D266" s="42" t="s">
        <v>1678</v>
      </c>
      <c r="E266" s="40" t="s">
        <v>1762</v>
      </c>
      <c r="F266" s="42"/>
      <c r="G266" s="51"/>
      <c r="H266" s="60">
        <f>VLOOKUP(C266,反转因子_broad!A:V,13,FALSE)</f>
        <v>5.6000000000000001E-2</v>
      </c>
      <c r="I266" s="60">
        <f>VLOOKUP(C266,反转因子_zz800!A:V,13,FALSE)</f>
        <v>4.2000000000000003E-2</v>
      </c>
      <c r="J266" s="51"/>
      <c r="K266" s="42"/>
      <c r="L266" s="42"/>
      <c r="M266" s="40"/>
      <c r="N266" s="49"/>
      <c r="O266" s="41"/>
    </row>
    <row r="267" spans="1:15">
      <c r="A267" s="40" t="s">
        <v>1646</v>
      </c>
      <c r="B267" s="49" t="s">
        <v>1647</v>
      </c>
      <c r="C267" s="41" t="s">
        <v>1679</v>
      </c>
      <c r="D267" s="42" t="s">
        <v>1680</v>
      </c>
      <c r="E267" s="40" t="s">
        <v>1762</v>
      </c>
      <c r="F267" s="42"/>
      <c r="G267" s="51"/>
      <c r="H267" s="60">
        <f>VLOOKUP(C267,反转因子_broad!A:V,13,FALSE)</f>
        <v>1.2999999999999999E-2</v>
      </c>
      <c r="I267" s="60">
        <f>VLOOKUP(C267,反转因子_zz800!A:V,13,FALSE)</f>
        <v>8.0000000000000002E-3</v>
      </c>
      <c r="J267" s="51"/>
      <c r="K267" s="42"/>
      <c r="L267" s="42"/>
      <c r="M267" s="40"/>
      <c r="N267" s="49"/>
      <c r="O267" s="41"/>
    </row>
    <row r="268" spans="1:15">
      <c r="A268" s="40" t="s">
        <v>1646</v>
      </c>
      <c r="B268" s="49" t="s">
        <v>1647</v>
      </c>
      <c r="C268" s="41" t="s">
        <v>1681</v>
      </c>
      <c r="D268" s="42" t="s">
        <v>1682</v>
      </c>
      <c r="E268" s="40" t="s">
        <v>1762</v>
      </c>
      <c r="F268" s="42"/>
      <c r="G268" s="51"/>
      <c r="H268" s="60">
        <f>VLOOKUP(C268,反转因子_broad!A:V,13,FALSE)</f>
        <v>3.7999999999999999E-2</v>
      </c>
      <c r="I268" s="60">
        <f>VLOOKUP(C268,反转因子_zz800!A:V,13,FALSE)</f>
        <v>2.5999999999999999E-2</v>
      </c>
      <c r="J268" s="51"/>
      <c r="K268" s="42"/>
      <c r="L268" s="42"/>
      <c r="M268" s="40"/>
      <c r="N268" s="49"/>
      <c r="O268" s="41"/>
    </row>
    <row r="269" spans="1:15">
      <c r="A269" s="40" t="s">
        <v>1646</v>
      </c>
      <c r="B269" s="49" t="s">
        <v>1647</v>
      </c>
      <c r="C269" s="41" t="s">
        <v>1683</v>
      </c>
      <c r="D269" s="42" t="s">
        <v>1684</v>
      </c>
      <c r="E269" s="40" t="s">
        <v>1762</v>
      </c>
      <c r="F269" s="42"/>
      <c r="G269" s="51"/>
      <c r="H269" s="60">
        <f>VLOOKUP(C269,反转因子_broad!A:V,13,FALSE)</f>
        <v>7.0000000000000001E-3</v>
      </c>
      <c r="I269" s="60">
        <f>VLOOKUP(C269,反转因子_zz800!A:V,13,FALSE)</f>
        <v>2E-3</v>
      </c>
      <c r="J269" s="51"/>
      <c r="K269" s="42"/>
      <c r="L269" s="42"/>
      <c r="M269" s="40"/>
      <c r="N269" s="49"/>
      <c r="O269" s="41"/>
    </row>
    <row r="270" spans="1:15">
      <c r="A270" s="40" t="s">
        <v>1646</v>
      </c>
      <c r="B270" s="49" t="s">
        <v>1647</v>
      </c>
      <c r="C270" s="41" t="s">
        <v>1685</v>
      </c>
      <c r="D270" s="42" t="s">
        <v>1686</v>
      </c>
      <c r="E270" s="40" t="s">
        <v>1687</v>
      </c>
      <c r="F270" s="42" t="s">
        <v>1651</v>
      </c>
      <c r="G270" s="51"/>
      <c r="H270" s="60">
        <f>VLOOKUP(C270,反转因子_broad!A:V,13,FALSE)</f>
        <v>7.4999999999999997E-2</v>
      </c>
      <c r="I270" s="60">
        <f>VLOOKUP(C270,反转因子_zz800!A:V,13,FALSE)</f>
        <v>5.6000000000000001E-2</v>
      </c>
      <c r="J270" s="51"/>
      <c r="K270" s="42"/>
      <c r="L270" s="42"/>
      <c r="M270" s="40"/>
      <c r="N270" s="49"/>
      <c r="O270" s="41"/>
    </row>
    <row r="271" spans="1:15" ht="69.75">
      <c r="A271" s="40" t="s">
        <v>1624</v>
      </c>
      <c r="B271" s="49" t="s">
        <v>1810</v>
      </c>
      <c r="C271" s="41" t="s">
        <v>1750</v>
      </c>
      <c r="D271" s="42" t="s">
        <v>1797</v>
      </c>
      <c r="E271" s="40" t="s">
        <v>1749</v>
      </c>
      <c r="F271" s="42"/>
      <c r="G271" s="51"/>
      <c r="H271" s="60">
        <f>VLOOKUP(C271,反转因子_broad!A:V,13,FALSE)</f>
        <v>6.9000000000000006E-2</v>
      </c>
      <c r="I271" s="60">
        <f>VLOOKUP(C271,反转因子_zz800!A:V,13,FALSE)</f>
        <v>5.1999999999999998E-2</v>
      </c>
      <c r="J271" s="51"/>
      <c r="K271" s="42"/>
      <c r="L271" s="42"/>
      <c r="M271" s="40"/>
      <c r="N271" s="49"/>
      <c r="O271" s="41"/>
    </row>
    <row r="272" spans="1:15" ht="55.5">
      <c r="A272" s="40" t="s">
        <v>1624</v>
      </c>
      <c r="B272" s="49" t="s">
        <v>1811</v>
      </c>
      <c r="C272" s="41" t="s">
        <v>1748</v>
      </c>
      <c r="D272" s="42" t="s">
        <v>1796</v>
      </c>
      <c r="E272" s="40" t="s">
        <v>1749</v>
      </c>
      <c r="F272" s="42"/>
      <c r="G272" s="51"/>
      <c r="H272" s="60">
        <f>VLOOKUP(C272,反转因子_broad!A:V,13,FALSE)</f>
        <v>7.1999999999999995E-2</v>
      </c>
      <c r="I272" s="60">
        <f>VLOOKUP(C272,反转因子_zz800!A:V,13,FALSE)</f>
        <v>5.6000000000000001E-2</v>
      </c>
      <c r="J272" s="51"/>
      <c r="K272" s="42"/>
      <c r="L272" s="42"/>
      <c r="M272" s="40"/>
      <c r="N272" s="49"/>
      <c r="O272" s="41"/>
    </row>
    <row r="273" spans="1:15" ht="17.25">
      <c r="A273" s="40" t="s">
        <v>1646</v>
      </c>
      <c r="B273" s="49" t="s">
        <v>1647</v>
      </c>
      <c r="C273" s="41" t="s">
        <v>1694</v>
      </c>
      <c r="D273" s="42" t="s">
        <v>1772</v>
      </c>
      <c r="E273" s="40" t="s">
        <v>1695</v>
      </c>
      <c r="F273" s="42" t="s">
        <v>1651</v>
      </c>
      <c r="G273" s="51"/>
      <c r="H273" s="60">
        <f>VLOOKUP(C273,反转因子_broad!A:V,13,FALSE)</f>
        <v>7.1999999999999995E-2</v>
      </c>
      <c r="I273" s="60">
        <f>VLOOKUP(C273,反转因子_zz800!A:V,13,FALSE)</f>
        <v>5.5E-2</v>
      </c>
      <c r="J273" s="51"/>
      <c r="K273" s="42"/>
      <c r="L273" s="42"/>
      <c r="M273" s="40"/>
      <c r="N273" s="49"/>
      <c r="O273" s="41"/>
    </row>
    <row r="274" spans="1:15">
      <c r="A274" s="40" t="s">
        <v>1646</v>
      </c>
      <c r="B274" s="49" t="s">
        <v>1647</v>
      </c>
      <c r="C274" s="41" t="s">
        <v>1759</v>
      </c>
      <c r="D274" s="42" t="s">
        <v>1696</v>
      </c>
      <c r="E274" s="40" t="s">
        <v>1697</v>
      </c>
      <c r="F274" s="42"/>
      <c r="G274" s="51"/>
      <c r="H274" s="60">
        <f>VLOOKUP(C274,反转因子_broad!A:V,13,FALSE)</f>
        <v>0.04</v>
      </c>
      <c r="I274" s="60">
        <f>VLOOKUP(C274,反转因子_zz800!A:V,13,FALSE)</f>
        <v>4.1000000000000002E-2</v>
      </c>
      <c r="J274" s="51"/>
      <c r="K274" s="42"/>
      <c r="L274" s="42"/>
      <c r="M274" s="40"/>
      <c r="N274" s="49"/>
      <c r="O274" s="41"/>
    </row>
    <row r="275" spans="1:15">
      <c r="A275" s="40" t="s">
        <v>1646</v>
      </c>
      <c r="B275" s="49" t="s">
        <v>1647</v>
      </c>
      <c r="C275" s="41" t="s">
        <v>1698</v>
      </c>
      <c r="D275" s="42" t="s">
        <v>1696</v>
      </c>
      <c r="E275" s="40" t="s">
        <v>1697</v>
      </c>
      <c r="F275" s="42" t="s">
        <v>1651</v>
      </c>
      <c r="G275" s="51"/>
      <c r="H275" s="60">
        <f>VLOOKUP(C275,反转因子_broad!A:V,13,FALSE)</f>
        <v>4.7E-2</v>
      </c>
      <c r="I275" s="60">
        <f>VLOOKUP(C275,反转因子_zz800!A:V,13,FALSE)</f>
        <v>4.2000000000000003E-2</v>
      </c>
      <c r="J275" s="51"/>
      <c r="K275" s="42"/>
      <c r="L275" s="42"/>
      <c r="M275" s="40"/>
      <c r="N275" s="49"/>
      <c r="O275" s="41"/>
    </row>
    <row r="276" spans="1:15">
      <c r="A276" s="40" t="s">
        <v>1646</v>
      </c>
      <c r="B276" s="49" t="s">
        <v>1647</v>
      </c>
      <c r="C276" s="41" t="s">
        <v>1699</v>
      </c>
      <c r="D276" s="42" t="s">
        <v>1700</v>
      </c>
      <c r="E276" s="40" t="s">
        <v>1701</v>
      </c>
      <c r="F276" s="42"/>
      <c r="G276" s="51"/>
      <c r="H276" s="60">
        <f>VLOOKUP(C276,反转因子_broad!A:V,13,FALSE)</f>
        <v>3.2000000000000001E-2</v>
      </c>
      <c r="I276" s="60">
        <f>VLOOKUP(C276,反转因子_zz800!A:V,13,FALSE)</f>
        <v>2.5999999999999999E-2</v>
      </c>
      <c r="J276" s="51"/>
      <c r="K276" s="42"/>
      <c r="L276" s="42"/>
      <c r="M276" s="40"/>
      <c r="N276" s="49"/>
      <c r="O276" s="41"/>
    </row>
    <row r="277" spans="1:15" ht="28.5">
      <c r="A277" s="40" t="s">
        <v>208</v>
      </c>
      <c r="B277" s="50" t="s">
        <v>1778</v>
      </c>
      <c r="C277" s="41" t="s">
        <v>2307</v>
      </c>
      <c r="D277" s="42" t="s">
        <v>954</v>
      </c>
      <c r="E277" s="42" t="s">
        <v>577</v>
      </c>
      <c r="F277" s="42" t="s">
        <v>961</v>
      </c>
      <c r="G277" s="51"/>
      <c r="H277" s="60">
        <f>VLOOKUP(C277,反转因子_broad!A:V,13,FALSE)</f>
        <v>6.7000000000000004E-2</v>
      </c>
      <c r="I277" s="60">
        <f>VLOOKUP(C277,反转因子_zz800!A:V,13,FALSE)</f>
        <v>5.2999999999999999E-2</v>
      </c>
      <c r="J277" s="51"/>
      <c r="K277" s="42"/>
      <c r="L277" s="2"/>
      <c r="M277" s="3"/>
      <c r="N277" s="63"/>
      <c r="O277" s="40"/>
    </row>
    <row r="278" spans="1:15" ht="28.5">
      <c r="A278" s="40" t="s">
        <v>1468</v>
      </c>
      <c r="B278" s="50" t="s">
        <v>1778</v>
      </c>
      <c r="C278" s="41" t="s">
        <v>573</v>
      </c>
      <c r="D278" s="42" t="s">
        <v>956</v>
      </c>
      <c r="E278" s="42" t="s">
        <v>577</v>
      </c>
      <c r="F278" s="42" t="s">
        <v>961</v>
      </c>
      <c r="G278" s="51"/>
      <c r="H278" s="60">
        <f>VLOOKUP(C278,反转因子_broad!A:V,13,FALSE)</f>
        <v>6.4000000000000001E-2</v>
      </c>
      <c r="I278" s="60">
        <f>VLOOKUP(C278,反转因子_zz800!A:V,13,FALSE)</f>
        <v>5.0999999999999997E-2</v>
      </c>
      <c r="J278" s="51"/>
      <c r="K278" s="42"/>
      <c r="L278" s="2"/>
      <c r="M278" s="3"/>
      <c r="N278" s="63"/>
      <c r="O278" s="40"/>
    </row>
    <row r="279" spans="1:15" ht="28.5">
      <c r="A279" s="40" t="s">
        <v>1468</v>
      </c>
      <c r="B279" s="50" t="s">
        <v>1778</v>
      </c>
      <c r="C279" s="41" t="s">
        <v>574</v>
      </c>
      <c r="D279" s="42" t="s">
        <v>957</v>
      </c>
      <c r="E279" s="42" t="s">
        <v>577</v>
      </c>
      <c r="F279" s="42" t="s">
        <v>961</v>
      </c>
      <c r="G279" s="51"/>
      <c r="H279" s="60">
        <f>VLOOKUP(C279,反转因子_broad!A:V,13,FALSE)</f>
        <v>6.4000000000000001E-2</v>
      </c>
      <c r="I279" s="60">
        <f>VLOOKUP(C279,反转因子_zz800!A:V,13,FALSE)</f>
        <v>0.05</v>
      </c>
      <c r="J279" s="51"/>
      <c r="K279" s="42"/>
      <c r="L279" s="2"/>
      <c r="M279" s="3"/>
      <c r="N279" s="63"/>
      <c r="O279" s="40"/>
    </row>
    <row r="280" spans="1:15">
      <c r="A280" s="40" t="s">
        <v>1608</v>
      </c>
      <c r="B280" s="49" t="s">
        <v>1633</v>
      </c>
      <c r="C280" s="41" t="s">
        <v>1637</v>
      </c>
      <c r="D280" s="42" t="s">
        <v>1638</v>
      </c>
      <c r="E280" s="40" t="s">
        <v>1639</v>
      </c>
      <c r="F280" s="42"/>
      <c r="G280" s="51"/>
      <c r="H280" s="60">
        <f>VLOOKUP(C280,反转因子_broad!A:V,13,FALSE)</f>
        <v>6.2E-2</v>
      </c>
      <c r="I280" s="60">
        <f>VLOOKUP(C280,反转因子_zz800!A:V,13,FALSE)</f>
        <v>5.8000000000000003E-2</v>
      </c>
      <c r="J280" s="51"/>
      <c r="K280" s="42"/>
      <c r="L280" s="42"/>
      <c r="M280" s="40"/>
      <c r="N280" s="49"/>
      <c r="O280" s="41"/>
    </row>
    <row r="281" spans="1:15" ht="28.5">
      <c r="A281" s="40" t="s">
        <v>1468</v>
      </c>
      <c r="B281" s="50" t="s">
        <v>1778</v>
      </c>
      <c r="C281" s="41" t="s">
        <v>572</v>
      </c>
      <c r="D281" s="42" t="s">
        <v>955</v>
      </c>
      <c r="E281" s="42" t="s">
        <v>577</v>
      </c>
      <c r="F281" s="42" t="s">
        <v>961</v>
      </c>
      <c r="G281" s="51"/>
      <c r="H281" s="60">
        <f>VLOOKUP(C281,反转因子_broad!A:V,13,FALSE)</f>
        <v>6.0999999999999999E-2</v>
      </c>
      <c r="I281" s="60">
        <f>VLOOKUP(C281,反转因子_zz800!A:V,13,FALSE)</f>
        <v>0.05</v>
      </c>
      <c r="J281" s="51"/>
      <c r="K281" s="42"/>
      <c r="L281" s="2"/>
      <c r="M281" s="3"/>
      <c r="N281" s="63"/>
      <c r="O281" s="40"/>
    </row>
    <row r="282" spans="1:15" ht="28.5">
      <c r="A282" s="40" t="s">
        <v>1468</v>
      </c>
      <c r="B282" s="50" t="s">
        <v>1778</v>
      </c>
      <c r="C282" s="41" t="s">
        <v>576</v>
      </c>
      <c r="D282" s="42" t="s">
        <v>959</v>
      </c>
      <c r="E282" s="42" t="s">
        <v>577</v>
      </c>
      <c r="F282" s="42" t="s">
        <v>961</v>
      </c>
      <c r="G282" s="51"/>
      <c r="H282" s="60">
        <f>VLOOKUP(C282,反转因子_broad!A:V,13,FALSE)</f>
        <v>0.06</v>
      </c>
      <c r="I282" s="60">
        <f>VLOOKUP(C282,反转因子_zz800!A:V,13,FALSE)</f>
        <v>4.8000000000000001E-2</v>
      </c>
      <c r="J282" s="51"/>
      <c r="K282" s="42"/>
      <c r="L282" s="2"/>
      <c r="M282" s="3"/>
      <c r="N282" s="63"/>
      <c r="O282" s="40"/>
    </row>
    <row r="283" spans="1:15">
      <c r="A283" s="40" t="s">
        <v>1646</v>
      </c>
      <c r="B283" s="49" t="s">
        <v>1656</v>
      </c>
      <c r="C283" s="41" t="s">
        <v>1688</v>
      </c>
      <c r="D283" s="42" t="s">
        <v>1769</v>
      </c>
      <c r="E283" s="40" t="s">
        <v>1689</v>
      </c>
      <c r="F283" s="42" t="s">
        <v>1651</v>
      </c>
      <c r="G283" s="51"/>
      <c r="H283" s="60">
        <f>VLOOKUP(C283,反转因子_broad!A:V,13,FALSE)</f>
        <v>5.8999999999999997E-2</v>
      </c>
      <c r="I283" s="60">
        <f>VLOOKUP(C283,反转因子_zz800!A:V,13,FALSE)</f>
        <v>5.5E-2</v>
      </c>
      <c r="J283" s="51"/>
      <c r="K283" s="42"/>
      <c r="L283" s="42"/>
      <c r="M283" s="40"/>
      <c r="N283" s="49"/>
      <c r="O283" s="41"/>
    </row>
    <row r="284" spans="1:15" ht="28.5">
      <c r="A284" s="40" t="s">
        <v>1468</v>
      </c>
      <c r="B284" s="50" t="s">
        <v>1778</v>
      </c>
      <c r="C284" s="41" t="s">
        <v>575</v>
      </c>
      <c r="D284" s="42" t="s">
        <v>958</v>
      </c>
      <c r="E284" s="42" t="s">
        <v>577</v>
      </c>
      <c r="F284" s="42" t="s">
        <v>961</v>
      </c>
      <c r="G284" s="51"/>
      <c r="H284" s="60">
        <f>VLOOKUP(C284,反转因子_broad!A:V,13,FALSE)</f>
        <v>5.8000000000000003E-2</v>
      </c>
      <c r="I284" s="60">
        <f>VLOOKUP(C284,反转因子_zz800!A:V,13,FALSE)</f>
        <v>0.05</v>
      </c>
      <c r="J284" s="51"/>
      <c r="K284" s="42"/>
      <c r="L284" s="2"/>
      <c r="M284" s="3"/>
      <c r="N284" s="63"/>
      <c r="O284" s="40"/>
    </row>
    <row r="285" spans="1:15">
      <c r="A285" s="40" t="s">
        <v>1646</v>
      </c>
      <c r="B285" s="49" t="s">
        <v>1656</v>
      </c>
      <c r="C285" s="41" t="s">
        <v>1661</v>
      </c>
      <c r="D285" s="42" t="s">
        <v>1662</v>
      </c>
      <c r="E285" s="40" t="s">
        <v>1767</v>
      </c>
      <c r="F285" s="42"/>
      <c r="G285" s="51"/>
      <c r="H285" s="60">
        <f>VLOOKUP(C285,反转因子_broad!A:V,13,FALSE)</f>
        <v>5.5E-2</v>
      </c>
      <c r="I285" s="60">
        <f>VLOOKUP(C285,反转因子_zz800!A:V,13,FALSE)</f>
        <v>5.2999999999999999E-2</v>
      </c>
      <c r="J285" s="51"/>
      <c r="K285" s="42"/>
      <c r="L285" s="42"/>
      <c r="M285" s="40"/>
      <c r="N285" s="49"/>
      <c r="O285" s="41"/>
    </row>
    <row r="286" spans="1:15">
      <c r="A286" s="40" t="s">
        <v>1646</v>
      </c>
      <c r="B286" s="49" t="s">
        <v>1656</v>
      </c>
      <c r="C286" s="41" t="s">
        <v>1660</v>
      </c>
      <c r="D286" s="42" t="s">
        <v>1764</v>
      </c>
      <c r="E286" s="40" t="s">
        <v>1767</v>
      </c>
      <c r="F286" s="42"/>
      <c r="G286" s="51"/>
      <c r="H286" s="60">
        <f>VLOOKUP(C286,反转因子_broad!A:V,13,FALSE)</f>
        <v>5.3999999999999999E-2</v>
      </c>
      <c r="I286" s="60">
        <f>VLOOKUP(C286,反转因子_zz800!A:V,13,FALSE)</f>
        <v>4.3999999999999997E-2</v>
      </c>
      <c r="J286" s="51"/>
      <c r="K286" s="42"/>
      <c r="L286" s="42"/>
      <c r="M286" s="40"/>
      <c r="N286" s="49"/>
      <c r="O286" s="41"/>
    </row>
    <row r="287" spans="1:15">
      <c r="A287" s="40" t="s">
        <v>1646</v>
      </c>
      <c r="B287" s="49" t="s">
        <v>1656</v>
      </c>
      <c r="C287" s="41" t="s">
        <v>1657</v>
      </c>
      <c r="D287" s="42" t="s">
        <v>1658</v>
      </c>
      <c r="E287" s="40" t="s">
        <v>1659</v>
      </c>
      <c r="F287" s="42"/>
      <c r="G287" s="51"/>
      <c r="H287" s="60">
        <f>VLOOKUP(C287,反转因子_broad!A:V,13,FALSE)</f>
        <v>5.2999999999999999E-2</v>
      </c>
      <c r="I287" s="60">
        <f>VLOOKUP(C287,反转因子_zz800!A:V,13,FALSE)</f>
        <v>0.04</v>
      </c>
      <c r="J287" s="51"/>
      <c r="K287" s="42"/>
      <c r="L287" s="42"/>
      <c r="M287" s="40"/>
      <c r="N287" s="49"/>
      <c r="O287" s="41"/>
    </row>
    <row r="288" spans="1:15">
      <c r="A288" s="40" t="s">
        <v>1646</v>
      </c>
      <c r="B288" s="49" t="s">
        <v>1656</v>
      </c>
      <c r="C288" s="41" t="s">
        <v>1664</v>
      </c>
      <c r="D288" s="42" t="s">
        <v>1766</v>
      </c>
      <c r="E288" s="40" t="s">
        <v>1767</v>
      </c>
      <c r="F288" s="42"/>
      <c r="G288" s="51"/>
      <c r="H288" s="60">
        <f>VLOOKUP(C288,反转因子_broad!A:V,13,FALSE)</f>
        <v>5.2999999999999999E-2</v>
      </c>
      <c r="I288" s="60">
        <f>VLOOKUP(C288,反转因子_zz800!A:V,13,FALSE)</f>
        <v>4.2000000000000003E-2</v>
      </c>
      <c r="J288" s="51"/>
      <c r="K288" s="42"/>
      <c r="L288" s="42"/>
      <c r="M288" s="40"/>
      <c r="N288" s="49"/>
      <c r="O288" s="41"/>
    </row>
    <row r="289" spans="1:15">
      <c r="A289" s="40" t="s">
        <v>1646</v>
      </c>
      <c r="B289" s="49" t="s">
        <v>1656</v>
      </c>
      <c r="C289" s="41" t="s">
        <v>1665</v>
      </c>
      <c r="D289" s="42" t="s">
        <v>1768</v>
      </c>
      <c r="E289" s="40" t="s">
        <v>1666</v>
      </c>
      <c r="F289" s="42"/>
      <c r="G289" s="51"/>
      <c r="H289" s="60">
        <f>VLOOKUP(C289,反转因子_broad!A:V,13,FALSE)</f>
        <v>5.0999999999999997E-2</v>
      </c>
      <c r="I289" s="60">
        <f>VLOOKUP(C289,反转因子_zz800!A:V,13,FALSE)</f>
        <v>0.05</v>
      </c>
      <c r="J289" s="51"/>
      <c r="K289" s="42"/>
      <c r="L289" s="42"/>
      <c r="M289" s="40"/>
      <c r="N289" s="49"/>
      <c r="O289" s="41"/>
    </row>
    <row r="290" spans="1:15">
      <c r="A290" s="40" t="s">
        <v>1646</v>
      </c>
      <c r="B290" s="49" t="s">
        <v>23</v>
      </c>
      <c r="C290" s="41" t="s">
        <v>1690</v>
      </c>
      <c r="D290" s="42" t="s">
        <v>1770</v>
      </c>
      <c r="E290" s="40" t="s">
        <v>1691</v>
      </c>
      <c r="F290" s="42"/>
      <c r="G290" s="51"/>
      <c r="H290" s="60">
        <f>VLOOKUP(C290,反转因子_broad!A:V,13,FALSE)</f>
        <v>5.0999999999999997E-2</v>
      </c>
      <c r="I290" s="60">
        <f>VLOOKUP(C290,反转因子_zz800!A:V,13,FALSE)</f>
        <v>4.5999999999999999E-2</v>
      </c>
      <c r="J290" s="51"/>
      <c r="K290" s="42"/>
      <c r="L290" s="42"/>
      <c r="M290" s="40"/>
      <c r="N290" s="49"/>
      <c r="O290" s="41"/>
    </row>
    <row r="291" spans="1:15">
      <c r="A291" s="40" t="s">
        <v>1608</v>
      </c>
      <c r="B291" s="49" t="s">
        <v>1633</v>
      </c>
      <c r="C291" s="41" t="s">
        <v>1640</v>
      </c>
      <c r="D291" s="42" t="s">
        <v>1641</v>
      </c>
      <c r="E291" s="40" t="s">
        <v>1642</v>
      </c>
      <c r="F291" s="42"/>
      <c r="G291" s="51"/>
      <c r="H291" s="60">
        <f>VLOOKUP(C291,反转因子_broad!A:V,13,FALSE)</f>
        <v>4.9000000000000002E-2</v>
      </c>
      <c r="I291" s="60">
        <f>VLOOKUP(C291,反转因子_zz800!A:V,13,FALSE)</f>
        <v>4.1000000000000002E-2</v>
      </c>
      <c r="J291" s="51"/>
      <c r="K291" s="42"/>
      <c r="L291" s="42"/>
      <c r="M291" s="40"/>
      <c r="N291" s="49"/>
      <c r="O291" s="41"/>
    </row>
    <row r="292" spans="1:15">
      <c r="A292" s="40" t="s">
        <v>1646</v>
      </c>
      <c r="B292" s="49" t="s">
        <v>1656</v>
      </c>
      <c r="C292" s="41" t="s">
        <v>1663</v>
      </c>
      <c r="D292" s="42" t="s">
        <v>1765</v>
      </c>
      <c r="E292" s="40" t="s">
        <v>1767</v>
      </c>
      <c r="F292" s="42" t="s">
        <v>1651</v>
      </c>
      <c r="G292" s="51"/>
      <c r="H292" s="60">
        <f>VLOOKUP(C292,反转因子_broad!A:V,13,FALSE)</f>
        <v>4.2000000000000003E-2</v>
      </c>
      <c r="I292" s="60">
        <f>VLOOKUP(C292,反转因子_zz800!A:V,13,FALSE)</f>
        <v>3.7999999999999999E-2</v>
      </c>
      <c r="J292" s="51"/>
      <c r="K292" s="42"/>
      <c r="L292" s="42"/>
      <c r="M292" s="40"/>
      <c r="N292" s="49"/>
      <c r="O292" s="41"/>
    </row>
    <row r="293" spans="1:15">
      <c r="A293" s="40" t="s">
        <v>1646</v>
      </c>
      <c r="B293" s="49" t="s">
        <v>23</v>
      </c>
      <c r="C293" s="41" t="s">
        <v>1692</v>
      </c>
      <c r="D293" s="42" t="s">
        <v>1771</v>
      </c>
      <c r="E293" s="40" t="s">
        <v>1693</v>
      </c>
      <c r="F293" s="42" t="s">
        <v>1651</v>
      </c>
      <c r="G293" s="51"/>
      <c r="H293" s="60">
        <f>VLOOKUP(C293,反转因子_broad!A:V,13,FALSE)</f>
        <v>4.1000000000000002E-2</v>
      </c>
      <c r="I293" s="60">
        <f>VLOOKUP(C293,反转因子_zz800!A:V,13,FALSE)</f>
        <v>3.7999999999999999E-2</v>
      </c>
      <c r="J293" s="51"/>
      <c r="K293" s="42"/>
      <c r="L293" s="42"/>
      <c r="M293" s="40"/>
      <c r="N293" s="49"/>
      <c r="O293" s="41"/>
    </row>
    <row r="294" spans="1:15">
      <c r="A294" s="40" t="s">
        <v>1608</v>
      </c>
      <c r="B294" s="49" t="s">
        <v>1633</v>
      </c>
      <c r="C294" s="41" t="s">
        <v>1643</v>
      </c>
      <c r="D294" s="42" t="s">
        <v>1644</v>
      </c>
      <c r="E294" s="40" t="s">
        <v>1645</v>
      </c>
      <c r="F294" s="42"/>
      <c r="G294" s="51"/>
      <c r="H294" s="60">
        <f>VLOOKUP(C294,反转因子_broad!A:V,13,FALSE)</f>
        <v>3.9E-2</v>
      </c>
      <c r="I294" s="60">
        <f>VLOOKUP(C294,反转因子_zz800!A:V,13,FALSE)</f>
        <v>3.2000000000000001E-2</v>
      </c>
      <c r="J294" s="51"/>
      <c r="K294" s="42"/>
      <c r="L294" s="42"/>
      <c r="M294" s="40"/>
      <c r="N294" s="49"/>
      <c r="O294" s="41"/>
    </row>
    <row r="295" spans="1:15">
      <c r="A295" s="40" t="s">
        <v>1646</v>
      </c>
      <c r="B295" s="49" t="s">
        <v>1656</v>
      </c>
      <c r="C295" s="41" t="s">
        <v>1756</v>
      </c>
      <c r="D295" s="42" t="s">
        <v>1763</v>
      </c>
      <c r="E295" s="40" t="s">
        <v>1767</v>
      </c>
      <c r="F295" s="42"/>
      <c r="G295" s="51"/>
      <c r="H295" s="60">
        <f>VLOOKUP(C295,反转因子_broad!A:V,13,FALSE)</f>
        <v>2.7E-2</v>
      </c>
      <c r="I295" s="60">
        <f>VLOOKUP(C295,反转因子_zz800!A:V,13,FALSE)</f>
        <v>3.2000000000000001E-2</v>
      </c>
      <c r="J295" s="51"/>
      <c r="K295" s="42"/>
      <c r="L295" s="42"/>
      <c r="M295" s="40"/>
      <c r="N295" s="49"/>
      <c r="O295" s="41"/>
    </row>
    <row r="296" spans="1:15">
      <c r="A296" s="40" t="s">
        <v>1608</v>
      </c>
      <c r="B296" s="49" t="s">
        <v>1633</v>
      </c>
      <c r="C296" s="41" t="s">
        <v>1634</v>
      </c>
      <c r="D296" s="42" t="s">
        <v>1635</v>
      </c>
      <c r="E296" s="40" t="s">
        <v>1636</v>
      </c>
      <c r="F296" s="42"/>
      <c r="G296" s="51"/>
      <c r="H296" s="60">
        <f>VLOOKUP(C296,反转因子_broad!A:V,13,FALSE)</f>
        <v>2.5000000000000001E-2</v>
      </c>
      <c r="I296" s="60">
        <f>VLOOKUP(C296,反转因子_zz800!A:V,13,FALSE)</f>
        <v>1.7000000000000001E-2</v>
      </c>
      <c r="J296" s="51"/>
      <c r="K296" s="42"/>
      <c r="L296" s="42"/>
      <c r="M296" s="40"/>
      <c r="N296" s="49"/>
      <c r="O296" s="41"/>
    </row>
    <row r="297" spans="1:15" ht="39.75">
      <c r="A297" s="40" t="s">
        <v>1468</v>
      </c>
      <c r="B297" s="49" t="s">
        <v>1779</v>
      </c>
      <c r="C297" s="41" t="s">
        <v>1758</v>
      </c>
      <c r="D297" s="42" t="s">
        <v>1083</v>
      </c>
      <c r="E297" s="42" t="s">
        <v>1084</v>
      </c>
      <c r="F297" s="43" t="s">
        <v>1777</v>
      </c>
      <c r="G297" s="51" t="s">
        <v>1072</v>
      </c>
      <c r="H297" s="60">
        <f>VLOOKUP(C297,反转因子_broad!A:V,13,FALSE)</f>
        <v>1.9E-2</v>
      </c>
      <c r="I297" s="60">
        <f>VLOOKUP(C297,反转因子_zz800!A:V,13,FALSE)</f>
        <v>2.1000000000000001E-2</v>
      </c>
      <c r="J297" s="51" t="s">
        <v>1111</v>
      </c>
      <c r="K297" s="42" t="s">
        <v>1085</v>
      </c>
      <c r="L297" s="2"/>
      <c r="M297" s="3"/>
      <c r="N297" s="63"/>
      <c r="O297" s="40"/>
    </row>
    <row r="298" spans="1:15">
      <c r="A298" s="40" t="s">
        <v>208</v>
      </c>
      <c r="B298" s="49" t="s">
        <v>18</v>
      </c>
      <c r="C298" s="41" t="s">
        <v>1582</v>
      </c>
      <c r="D298" s="42" t="s">
        <v>1784</v>
      </c>
      <c r="E298" s="42" t="s">
        <v>1751</v>
      </c>
      <c r="F298" s="42"/>
      <c r="G298" s="51"/>
      <c r="H298" s="60">
        <f>VLOOKUP(C298,反转因子_broad!A:V,13,FALSE)</f>
        <v>-8.0000000000000002E-3</v>
      </c>
      <c r="I298" s="60">
        <f>VLOOKUP(C298,反转因子_zz800!A:V,13,FALSE)</f>
        <v>5.0000000000000001E-3</v>
      </c>
      <c r="J298" s="51"/>
      <c r="K298" s="42"/>
      <c r="L298" s="2"/>
      <c r="M298" s="3"/>
      <c r="N298" s="63"/>
      <c r="O298" s="40"/>
    </row>
    <row r="299" spans="1:15">
      <c r="A299" s="40" t="s">
        <v>208</v>
      </c>
      <c r="B299" s="49" t="s">
        <v>18</v>
      </c>
      <c r="C299" s="41" t="s">
        <v>209</v>
      </c>
      <c r="D299" s="42" t="s">
        <v>1780</v>
      </c>
      <c r="E299" s="42" t="s">
        <v>1751</v>
      </c>
      <c r="F299" s="42"/>
      <c r="G299" s="51"/>
      <c r="H299" s="36">
        <f>VLOOKUP(C299,反转因子_broad!A:V,13,FALSE)</f>
        <v>1.7000000000000001E-2</v>
      </c>
      <c r="I299" s="60">
        <f>VLOOKUP(C299,反转因子_zz800!A:V,13,FALSE)</f>
        <v>2.5000000000000001E-2</v>
      </c>
      <c r="J299" s="51"/>
      <c r="K299" s="2"/>
      <c r="L299" s="2"/>
      <c r="M299" s="3"/>
      <c r="N299" s="63"/>
      <c r="O299" s="40"/>
    </row>
    <row r="300" spans="1:15">
      <c r="A300" s="40" t="s">
        <v>208</v>
      </c>
      <c r="B300" s="49" t="s">
        <v>18</v>
      </c>
      <c r="C300" s="41" t="s">
        <v>1583</v>
      </c>
      <c r="D300" s="42" t="s">
        <v>1785</v>
      </c>
      <c r="E300" s="42" t="s">
        <v>1751</v>
      </c>
      <c r="F300" s="42"/>
      <c r="G300" s="51"/>
      <c r="H300" s="60">
        <f>VLOOKUP(C300,反转因子_broad!A:V,13,FALSE)</f>
        <v>-1.7000000000000001E-2</v>
      </c>
      <c r="I300" s="60">
        <f>VLOOKUP(C300,反转因子_zz800!A:V,13,FALSE)</f>
        <v>1E-3</v>
      </c>
      <c r="J300" s="51"/>
      <c r="K300" s="42"/>
      <c r="L300" s="2"/>
      <c r="M300" s="3"/>
      <c r="N300" s="63"/>
      <c r="O300" s="40"/>
    </row>
    <row r="301" spans="1:15">
      <c r="A301" s="40" t="s">
        <v>208</v>
      </c>
      <c r="B301" s="49" t="s">
        <v>18</v>
      </c>
      <c r="C301" s="41" t="s">
        <v>211</v>
      </c>
      <c r="D301" s="42" t="s">
        <v>1782</v>
      </c>
      <c r="E301" s="42" t="s">
        <v>1751</v>
      </c>
      <c r="F301" s="42"/>
      <c r="G301" s="51"/>
      <c r="H301" s="60">
        <f>VLOOKUP(C301,反转因子_broad!A:V,13,FALSE)</f>
        <v>5.0000000000000001E-3</v>
      </c>
      <c r="I301" s="60">
        <f>VLOOKUP(C301,反转因子_zz800!A:V,13,FALSE)</f>
        <v>1.4999999999999999E-2</v>
      </c>
      <c r="J301" s="51"/>
      <c r="K301" s="42"/>
      <c r="L301" s="2"/>
      <c r="M301" s="3"/>
      <c r="N301" s="63"/>
      <c r="O301" s="40"/>
    </row>
    <row r="302" spans="1:15">
      <c r="A302" s="40" t="s">
        <v>208</v>
      </c>
      <c r="B302" s="49" t="s">
        <v>18</v>
      </c>
      <c r="C302" s="41" t="s">
        <v>213</v>
      </c>
      <c r="D302" s="42" t="s">
        <v>1783</v>
      </c>
      <c r="E302" s="42" t="s">
        <v>1751</v>
      </c>
      <c r="F302" s="42"/>
      <c r="G302" s="51"/>
      <c r="H302" s="60">
        <f>VLOOKUP(C302,反转因子_broad!A:V,13,FALSE)</f>
        <v>-2E-3</v>
      </c>
      <c r="I302" s="60">
        <f>VLOOKUP(C302,反转因子_zz800!A:V,13,FALSE)</f>
        <v>8.9999999999999993E-3</v>
      </c>
      <c r="J302" s="51"/>
      <c r="K302" s="42"/>
      <c r="L302" s="2"/>
      <c r="M302" s="3"/>
      <c r="N302" s="63"/>
      <c r="O302" s="40"/>
    </row>
    <row r="303" spans="1:15" ht="27">
      <c r="A303" s="40" t="s">
        <v>208</v>
      </c>
      <c r="B303" s="49" t="s">
        <v>18</v>
      </c>
      <c r="C303" s="41" t="s">
        <v>215</v>
      </c>
      <c r="D303" s="42" t="s">
        <v>216</v>
      </c>
      <c r="E303" s="41" t="s">
        <v>215</v>
      </c>
      <c r="F303" s="42" t="s">
        <v>655</v>
      </c>
      <c r="G303" s="51"/>
      <c r="H303" s="60">
        <f>VLOOKUP(C303,反转因子_broad!A:V,13,FALSE)</f>
        <v>4.7E-2</v>
      </c>
      <c r="I303" s="60">
        <f>VLOOKUP(C303,反转因子_zz800!A:V,13,FALSE)</f>
        <v>3.4000000000000002E-2</v>
      </c>
      <c r="J303" s="51"/>
      <c r="K303" s="42"/>
      <c r="L303" s="2"/>
      <c r="M303" s="3"/>
      <c r="N303" s="63"/>
      <c r="O303" s="40"/>
    </row>
    <row r="304" spans="1:15">
      <c r="A304" s="40" t="s">
        <v>208</v>
      </c>
      <c r="B304" s="49" t="s">
        <v>18</v>
      </c>
      <c r="C304" s="41" t="s">
        <v>1586</v>
      </c>
      <c r="D304" s="42" t="s">
        <v>1587</v>
      </c>
      <c r="E304" s="41" t="s">
        <v>1586</v>
      </c>
      <c r="F304" s="42"/>
      <c r="G304" s="51"/>
      <c r="H304" s="60">
        <f>VLOOKUP(C304,反转因子_broad!A:V,13,FALSE)</f>
        <v>4.5999999999999999E-2</v>
      </c>
      <c r="I304" s="60">
        <f>VLOOKUP(C304,反转因子_zz800!A:V,13,FALSE)</f>
        <v>3.5000000000000003E-2</v>
      </c>
      <c r="J304" s="51"/>
      <c r="K304" s="42"/>
      <c r="L304" s="2"/>
      <c r="M304" s="3"/>
      <c r="N304" s="63"/>
      <c r="O304" s="40"/>
    </row>
    <row r="305" spans="1:15">
      <c r="A305" s="40" t="s">
        <v>208</v>
      </c>
      <c r="B305" s="49" t="s">
        <v>18</v>
      </c>
      <c r="C305" s="41" t="s">
        <v>217</v>
      </c>
      <c r="D305" s="42" t="s">
        <v>218</v>
      </c>
      <c r="E305" s="42" t="s">
        <v>1752</v>
      </c>
      <c r="F305" s="42"/>
      <c r="G305" s="51"/>
      <c r="H305" s="60">
        <f>VLOOKUP(C305,反转因子_broad!A:V,13,FALSE)</f>
        <v>4.5999999999999999E-2</v>
      </c>
      <c r="I305" s="60">
        <f>VLOOKUP(C305,反转因子_zz800!A:V,13,FALSE)</f>
        <v>3.4000000000000002E-2</v>
      </c>
      <c r="J305" s="51"/>
      <c r="K305" s="42"/>
      <c r="L305" s="2"/>
      <c r="M305" s="3"/>
      <c r="N305" s="63"/>
      <c r="O305" s="40"/>
    </row>
    <row r="306" spans="1:15">
      <c r="A306" s="40" t="s">
        <v>208</v>
      </c>
      <c r="B306" s="49" t="s">
        <v>18</v>
      </c>
      <c r="C306" s="41" t="s">
        <v>1757</v>
      </c>
      <c r="D306" s="42" t="s">
        <v>1781</v>
      </c>
      <c r="E306" s="41" t="s">
        <v>1757</v>
      </c>
      <c r="F306" s="44"/>
      <c r="G306" s="51"/>
      <c r="H306" s="36">
        <f>VLOOKUP(C306,反转因子_broad!A:V,13,FALSE)</f>
        <v>6.0999999999999999E-2</v>
      </c>
      <c r="I306" s="60">
        <f>VLOOKUP(C306,反转因子_zz800!A:V,13,FALSE)</f>
        <v>2.5999999999999999E-2</v>
      </c>
      <c r="J306" s="51"/>
      <c r="K306" s="2"/>
      <c r="L306" s="2"/>
      <c r="M306" s="3"/>
      <c r="N306" s="63"/>
      <c r="O306" s="40"/>
    </row>
    <row r="307" spans="1:15">
      <c r="A307" s="40" t="s">
        <v>208</v>
      </c>
      <c r="B307" s="49" t="s">
        <v>18</v>
      </c>
      <c r="C307" s="41" t="s">
        <v>268</v>
      </c>
      <c r="D307" s="42" t="s">
        <v>269</v>
      </c>
      <c r="E307" s="41" t="s">
        <v>617</v>
      </c>
      <c r="F307" s="44" t="s">
        <v>655</v>
      </c>
      <c r="G307" s="51"/>
      <c r="H307" s="36">
        <f>VLOOKUP(C307,反转因子_broad!A:V,13,FALSE)</f>
        <v>0.08</v>
      </c>
      <c r="I307" s="60">
        <f>VLOOKUP(C307,反转因子_zz800!A:V,13,FALSE)</f>
        <v>5.7000000000000002E-2</v>
      </c>
      <c r="J307" s="51"/>
      <c r="K307" s="2"/>
      <c r="L307" s="2"/>
      <c r="M307" s="3"/>
      <c r="N307" s="63"/>
      <c r="O307" s="40"/>
    </row>
    <row r="308" spans="1:15">
      <c r="A308" s="40" t="s">
        <v>208</v>
      </c>
      <c r="B308" s="49" t="s">
        <v>18</v>
      </c>
      <c r="C308" s="41" t="s">
        <v>1590</v>
      </c>
      <c r="D308" s="42" t="s">
        <v>1591</v>
      </c>
      <c r="E308" s="41" t="s">
        <v>617</v>
      </c>
      <c r="F308" s="44" t="s">
        <v>655</v>
      </c>
      <c r="G308" s="51"/>
      <c r="H308" s="36">
        <f>VLOOKUP(C308,反转因子_broad!A:V,13,FALSE)</f>
        <v>0.02</v>
      </c>
      <c r="I308" s="60">
        <f>VLOOKUP(C308,反转因子_zz800!A:V,13,FALSE)</f>
        <v>1.0999999999999999E-2</v>
      </c>
      <c r="J308" s="51"/>
      <c r="K308" s="2"/>
      <c r="L308" s="2"/>
      <c r="M308" s="3"/>
      <c r="N308" s="63"/>
      <c r="O308" s="40"/>
    </row>
    <row r="309" spans="1:15">
      <c r="A309" s="40" t="s">
        <v>208</v>
      </c>
      <c r="B309" s="49" t="s">
        <v>18</v>
      </c>
      <c r="C309" s="41" t="s">
        <v>270</v>
      </c>
      <c r="D309" s="42" t="s">
        <v>271</v>
      </c>
      <c r="E309" s="42" t="s">
        <v>1760</v>
      </c>
      <c r="F309" s="42"/>
      <c r="G309" s="51"/>
      <c r="H309" s="60">
        <f>VLOOKUP(C309,反转因子_broad!A:V,13,FALSE)</f>
        <v>4.7E-2</v>
      </c>
      <c r="I309" s="60">
        <f>VLOOKUP(C309,反转因子_zz800!A:V,13,FALSE)</f>
        <v>3.9E-2</v>
      </c>
      <c r="J309" s="51"/>
      <c r="K309" s="42"/>
      <c r="L309" s="2"/>
      <c r="M309" s="3"/>
      <c r="N309" s="63"/>
      <c r="O309" s="40"/>
    </row>
    <row r="310" spans="1:15">
      <c r="A310" s="40" t="s">
        <v>208</v>
      </c>
      <c r="B310" s="49" t="s">
        <v>18</v>
      </c>
      <c r="C310" s="41" t="s">
        <v>276</v>
      </c>
      <c r="D310" s="42" t="s">
        <v>277</v>
      </c>
      <c r="E310" s="42" t="s">
        <v>1762</v>
      </c>
      <c r="F310" s="42"/>
      <c r="G310" s="51"/>
      <c r="H310" s="60">
        <f>VLOOKUP(C310,反转因子_broad!A:V,13,FALSE)</f>
        <v>6.2E-2</v>
      </c>
      <c r="I310" s="60">
        <f>VLOOKUP(C310,反转因子_zz800!A:V,13,FALSE)</f>
        <v>4.4999999999999998E-2</v>
      </c>
      <c r="J310" s="51"/>
      <c r="K310" s="42"/>
      <c r="L310" s="2"/>
      <c r="M310" s="3"/>
      <c r="N310" s="63"/>
      <c r="O310" s="40"/>
    </row>
    <row r="311" spans="1:15">
      <c r="A311" s="40" t="s">
        <v>208</v>
      </c>
      <c r="B311" s="49" t="s">
        <v>18</v>
      </c>
      <c r="C311" s="41" t="s">
        <v>278</v>
      </c>
      <c r="D311" s="42" t="s">
        <v>279</v>
      </c>
      <c r="E311" s="42" t="s">
        <v>1762</v>
      </c>
      <c r="F311" s="42"/>
      <c r="G311" s="51"/>
      <c r="H311" s="60">
        <f>VLOOKUP(C311,反转因子_broad!A:V,13,FALSE)</f>
        <v>5.2999999999999999E-2</v>
      </c>
      <c r="I311" s="60">
        <f>VLOOKUP(C311,反转因子_zz800!A:V,13,FALSE)</f>
        <v>0.04</v>
      </c>
      <c r="J311" s="51"/>
      <c r="K311" s="42"/>
      <c r="L311" s="2"/>
      <c r="M311" s="3"/>
      <c r="N311" s="63"/>
      <c r="O311" s="40"/>
    </row>
    <row r="312" spans="1:15">
      <c r="A312" s="40" t="s">
        <v>208</v>
      </c>
      <c r="B312" s="49" t="s">
        <v>18</v>
      </c>
      <c r="C312" s="41" t="s">
        <v>280</v>
      </c>
      <c r="D312" s="42" t="s">
        <v>281</v>
      </c>
      <c r="E312" s="42" t="s">
        <v>1762</v>
      </c>
      <c r="F312" s="42"/>
      <c r="G312" s="51"/>
      <c r="H312" s="60">
        <f>VLOOKUP(C312,反转因子_broad!A:V,13,FALSE)</f>
        <v>5.7000000000000002E-2</v>
      </c>
      <c r="I312" s="60">
        <f>VLOOKUP(C312,反转因子_zz800!A:V,13,FALSE)</f>
        <v>4.2000000000000003E-2</v>
      </c>
      <c r="J312" s="51"/>
      <c r="K312" s="42"/>
      <c r="L312" s="2"/>
      <c r="M312" s="3"/>
      <c r="N312" s="63"/>
      <c r="O312" s="40"/>
    </row>
    <row r="313" spans="1:15">
      <c r="A313" s="40" t="s">
        <v>208</v>
      </c>
      <c r="B313" s="49" t="s">
        <v>18</v>
      </c>
      <c r="C313" s="41" t="s">
        <v>282</v>
      </c>
      <c r="D313" s="42" t="s">
        <v>283</v>
      </c>
      <c r="E313" s="42" t="s">
        <v>1762</v>
      </c>
      <c r="F313" s="42"/>
      <c r="G313" s="51"/>
      <c r="H313" s="60">
        <f>VLOOKUP(C313,反转因子_broad!A:V,13,FALSE)</f>
        <v>4.5999999999999999E-2</v>
      </c>
      <c r="I313" s="60">
        <f>VLOOKUP(C313,反转因子_zz800!A:V,13,FALSE)</f>
        <v>3.4000000000000002E-2</v>
      </c>
      <c r="J313" s="51"/>
      <c r="K313" s="42"/>
      <c r="L313" s="2"/>
      <c r="M313" s="3"/>
      <c r="N313" s="63"/>
      <c r="O313" s="40"/>
    </row>
    <row r="314" spans="1:15" ht="27">
      <c r="A314" s="40" t="s">
        <v>1646</v>
      </c>
      <c r="B314" s="49" t="s">
        <v>1702</v>
      </c>
      <c r="C314" s="41" t="s">
        <v>1706</v>
      </c>
      <c r="D314" s="42" t="s">
        <v>1788</v>
      </c>
      <c r="E314" s="40" t="s">
        <v>1762</v>
      </c>
      <c r="F314" s="42"/>
      <c r="G314" s="51"/>
      <c r="H314" s="60">
        <f>VLOOKUP(C314,反转因子_broad!A:V,13,FALSE)</f>
        <v>5.0999999999999997E-2</v>
      </c>
      <c r="I314" s="60">
        <f>VLOOKUP(C314,反转因子_zz800!A:V,13,FALSE)</f>
        <v>3.9E-2</v>
      </c>
      <c r="J314" s="51"/>
      <c r="K314" s="42"/>
      <c r="L314" s="42"/>
      <c r="M314" s="40"/>
      <c r="N314" s="49"/>
      <c r="O314" s="41"/>
    </row>
    <row r="315" spans="1:15" ht="27">
      <c r="A315" s="40" t="s">
        <v>1646</v>
      </c>
      <c r="B315" s="49" t="s">
        <v>1702</v>
      </c>
      <c r="C315" s="41" t="s">
        <v>1703</v>
      </c>
      <c r="D315" s="42" t="s">
        <v>1790</v>
      </c>
      <c r="E315" s="40" t="s">
        <v>1762</v>
      </c>
      <c r="F315" s="42"/>
      <c r="G315" s="51"/>
      <c r="H315" s="60">
        <f>VLOOKUP(C315,反转因子_broad!A:V,13,FALSE)</f>
        <v>8.4000000000000005E-2</v>
      </c>
      <c r="I315" s="60">
        <f>VLOOKUP(C315,反转因子_zz800!A:V,13,FALSE)</f>
        <v>6.3E-2</v>
      </c>
      <c r="J315" s="51"/>
      <c r="K315" s="42"/>
      <c r="L315" s="42"/>
      <c r="M315" s="40"/>
      <c r="N315" s="49"/>
      <c r="O315" s="41"/>
    </row>
    <row r="316" spans="1:15" ht="27">
      <c r="A316" s="40" t="s">
        <v>1646</v>
      </c>
      <c r="B316" s="49" t="s">
        <v>1702</v>
      </c>
      <c r="C316" s="41" t="s">
        <v>1707</v>
      </c>
      <c r="D316" s="42" t="s">
        <v>1789</v>
      </c>
      <c r="E316" s="40" t="s">
        <v>1762</v>
      </c>
      <c r="F316" s="42"/>
      <c r="G316" s="51"/>
      <c r="H316" s="60">
        <f>VLOOKUP(C316,反转因子_broad!A:V,13,FALSE)</f>
        <v>0.04</v>
      </c>
      <c r="I316" s="60">
        <f>VLOOKUP(C316,反转因子_zz800!A:V,13,FALSE)</f>
        <v>3.5000000000000003E-2</v>
      </c>
      <c r="J316" s="51"/>
      <c r="K316" s="42"/>
      <c r="L316" s="42"/>
      <c r="M316" s="40"/>
      <c r="N316" s="49"/>
      <c r="O316" s="41"/>
    </row>
    <row r="317" spans="1:15" ht="27">
      <c r="A317" s="40" t="s">
        <v>1646</v>
      </c>
      <c r="B317" s="49" t="s">
        <v>1702</v>
      </c>
      <c r="C317" s="41" t="s">
        <v>1704</v>
      </c>
      <c r="D317" s="42" t="s">
        <v>1786</v>
      </c>
      <c r="E317" s="40" t="s">
        <v>1762</v>
      </c>
      <c r="F317" s="42"/>
      <c r="G317" s="51"/>
      <c r="H317" s="60">
        <f>VLOOKUP(C317,反转因子_broad!A:V,13,FALSE)</f>
        <v>6.9000000000000006E-2</v>
      </c>
      <c r="I317" s="60">
        <f>VLOOKUP(C317,反转因子_zz800!A:V,13,FALSE)</f>
        <v>5.2999999999999999E-2</v>
      </c>
      <c r="J317" s="51"/>
      <c r="K317" s="42"/>
      <c r="L317" s="42"/>
      <c r="M317" s="40"/>
      <c r="N317" s="49"/>
      <c r="O317" s="41"/>
    </row>
    <row r="318" spans="1:15" ht="27">
      <c r="A318" s="40" t="s">
        <v>1646</v>
      </c>
      <c r="B318" s="49" t="s">
        <v>1702</v>
      </c>
      <c r="C318" s="41" t="s">
        <v>1705</v>
      </c>
      <c r="D318" s="42" t="s">
        <v>1787</v>
      </c>
      <c r="E318" s="40" t="s">
        <v>1762</v>
      </c>
      <c r="F318" s="42"/>
      <c r="G318" s="51"/>
      <c r="H318" s="60">
        <f>VLOOKUP(C318,反转因子_broad!A:V,13,FALSE)</f>
        <v>5.8999999999999997E-2</v>
      </c>
      <c r="I318" s="60">
        <f>VLOOKUP(C318,反转因子_zz800!A:V,13,FALSE)</f>
        <v>4.2999999999999997E-2</v>
      </c>
      <c r="J318" s="51"/>
      <c r="K318" s="42"/>
      <c r="L318" s="42"/>
      <c r="M318" s="40"/>
      <c r="N318" s="49"/>
      <c r="O318" s="41"/>
    </row>
    <row r="319" spans="1:15">
      <c r="A319" s="40" t="s">
        <v>1646</v>
      </c>
      <c r="B319" s="49" t="s">
        <v>1702</v>
      </c>
      <c r="C319" s="41" t="s">
        <v>1708</v>
      </c>
      <c r="D319" s="42" t="s">
        <v>1709</v>
      </c>
      <c r="E319" s="40" t="s">
        <v>1762</v>
      </c>
      <c r="F319" s="42"/>
      <c r="G319" s="51"/>
      <c r="H319" s="60">
        <f>VLOOKUP(C319,反转因子_broad!A:V,13,FALSE)</f>
        <v>5.0999999999999997E-2</v>
      </c>
      <c r="I319" s="60">
        <f>VLOOKUP(C319,反转因子_zz800!A:V,13,FALSE)</f>
        <v>3.9E-2</v>
      </c>
      <c r="J319" s="51"/>
      <c r="K319" s="42"/>
      <c r="L319" s="42"/>
      <c r="M319" s="40"/>
      <c r="N319" s="49"/>
      <c r="O319" s="41"/>
    </row>
    <row r="320" spans="1:15">
      <c r="A320" s="40" t="s">
        <v>1646</v>
      </c>
      <c r="B320" s="49" t="s">
        <v>1702</v>
      </c>
      <c r="C320" s="41" t="s">
        <v>1710</v>
      </c>
      <c r="D320" s="42" t="s">
        <v>1711</v>
      </c>
      <c r="E320" s="40" t="s">
        <v>1762</v>
      </c>
      <c r="F320" s="42"/>
      <c r="G320" s="51"/>
      <c r="H320" s="60">
        <f>VLOOKUP(C320,反转因子_broad!A:V,13,FALSE)</f>
        <v>8.5000000000000006E-2</v>
      </c>
      <c r="I320" s="60">
        <f>VLOOKUP(C320,反转因子_zz800!A:V,13,FALSE)</f>
        <v>6.3E-2</v>
      </c>
      <c r="J320" s="51"/>
      <c r="K320" s="42"/>
      <c r="L320" s="42"/>
      <c r="M320" s="40"/>
      <c r="N320" s="49"/>
      <c r="O320" s="41"/>
    </row>
    <row r="321" spans="1:16">
      <c r="A321" s="40" t="s">
        <v>1646</v>
      </c>
      <c r="B321" s="49" t="s">
        <v>1702</v>
      </c>
      <c r="C321" s="41" t="s">
        <v>1712</v>
      </c>
      <c r="D321" s="42" t="s">
        <v>1713</v>
      </c>
      <c r="E321" s="40" t="s">
        <v>1762</v>
      </c>
      <c r="F321" s="42"/>
      <c r="G321" s="51"/>
      <c r="H321" s="60">
        <f>VLOOKUP(C321,反转因子_broad!A:V,13,FALSE)</f>
        <v>0.04</v>
      </c>
      <c r="I321" s="60">
        <f>VLOOKUP(C321,反转因子_zz800!A:V,13,FALSE)</f>
        <v>3.5000000000000003E-2</v>
      </c>
      <c r="J321" s="51"/>
      <c r="K321" s="42"/>
      <c r="L321" s="42"/>
      <c r="M321" s="40"/>
      <c r="N321" s="49"/>
      <c r="O321" s="41"/>
    </row>
    <row r="322" spans="1:16">
      <c r="A322" s="40" t="s">
        <v>1646</v>
      </c>
      <c r="B322" s="49" t="s">
        <v>1702</v>
      </c>
      <c r="C322" s="41" t="s">
        <v>1714</v>
      </c>
      <c r="D322" s="42" t="s">
        <v>1715</v>
      </c>
      <c r="E322" s="40" t="s">
        <v>1762</v>
      </c>
      <c r="F322" s="42"/>
      <c r="G322" s="51"/>
      <c r="H322" s="60">
        <f>VLOOKUP(C322,反转因子_broad!A:V,13,FALSE)</f>
        <v>6.9000000000000006E-2</v>
      </c>
      <c r="I322" s="60">
        <f>VLOOKUP(C322,反转因子_zz800!A:V,13,FALSE)</f>
        <v>5.2999999999999999E-2</v>
      </c>
      <c r="J322" s="51"/>
      <c r="K322" s="42"/>
      <c r="L322" s="42"/>
      <c r="M322" s="40"/>
      <c r="N322" s="49"/>
      <c r="O322" s="41"/>
    </row>
    <row r="323" spans="1:16">
      <c r="A323" s="40" t="s">
        <v>1646</v>
      </c>
      <c r="B323" s="49" t="s">
        <v>1702</v>
      </c>
      <c r="C323" s="41" t="s">
        <v>1716</v>
      </c>
      <c r="D323" s="42" t="s">
        <v>1717</v>
      </c>
      <c r="E323" s="40" t="s">
        <v>1762</v>
      </c>
      <c r="F323" s="42"/>
      <c r="G323" s="51"/>
      <c r="H323" s="60">
        <f>VLOOKUP(C323,反转因子_broad!A:V,13,FALSE)</f>
        <v>5.8999999999999997E-2</v>
      </c>
      <c r="I323" s="60">
        <f>VLOOKUP(C323,反转因子_zz800!A:V,13,FALSE)</f>
        <v>4.2999999999999997E-2</v>
      </c>
      <c r="J323" s="51"/>
      <c r="K323" s="42"/>
      <c r="L323" s="42"/>
      <c r="M323" s="40"/>
      <c r="N323" s="49"/>
      <c r="O323" s="41"/>
    </row>
    <row r="324" spans="1:16">
      <c r="A324" s="40" t="s">
        <v>1646</v>
      </c>
      <c r="B324" s="49" t="s">
        <v>1702</v>
      </c>
      <c r="C324" s="41" t="s">
        <v>1718</v>
      </c>
      <c r="D324" s="42" t="s">
        <v>1719</v>
      </c>
      <c r="E324" s="40" t="s">
        <v>1773</v>
      </c>
      <c r="F324" s="42"/>
      <c r="G324" s="51"/>
      <c r="H324" s="60">
        <f>VLOOKUP(C324,反转因子_broad!A:V,13,FALSE)</f>
        <v>8.4000000000000005E-2</v>
      </c>
      <c r="I324" s="60">
        <f>VLOOKUP(C324,反转因子_zz800!A:V,13,FALSE)</f>
        <v>6.3E-2</v>
      </c>
      <c r="J324" s="51"/>
      <c r="K324" s="42"/>
      <c r="L324" s="42"/>
      <c r="M324" s="40"/>
      <c r="N324" s="49"/>
      <c r="O324" s="41"/>
    </row>
    <row r="325" spans="1:16">
      <c r="A325" s="40" t="s">
        <v>1624</v>
      </c>
      <c r="B325" s="49" t="s">
        <v>1720</v>
      </c>
      <c r="C325" s="41" t="s">
        <v>1721</v>
      </c>
      <c r="D325" s="43" t="s">
        <v>1815</v>
      </c>
      <c r="E325" s="40" t="s">
        <v>1774</v>
      </c>
      <c r="F325" s="42"/>
      <c r="G325" s="51"/>
      <c r="H325" s="60">
        <f>VLOOKUP(C325,反转因子_broad!A:V,13,FALSE)</f>
        <v>9.4E-2</v>
      </c>
      <c r="I325" s="60">
        <f>VLOOKUP(C325,反转因子_zz800!A:V,13,FALSE)</f>
        <v>7.3999999999999996E-2</v>
      </c>
      <c r="J325" s="51"/>
      <c r="K325" s="42"/>
      <c r="L325" s="42"/>
      <c r="M325" s="40"/>
      <c r="N325" s="49"/>
      <c r="O325" s="41"/>
    </row>
    <row r="326" spans="1:16" ht="28.5">
      <c r="A326" s="53" t="s">
        <v>1161</v>
      </c>
      <c r="B326" s="4" t="s">
        <v>1162</v>
      </c>
      <c r="C326" s="54" t="s">
        <v>1163</v>
      </c>
      <c r="D326" s="55" t="s">
        <v>1164</v>
      </c>
      <c r="E326" s="55" t="s">
        <v>1944</v>
      </c>
      <c r="F326" s="55"/>
      <c r="G326" s="2"/>
      <c r="H326" s="56">
        <f>VLOOKUP(C326,质量因子_broad!A:V,13,FALSE)</f>
        <v>1.0999999999999999E-2</v>
      </c>
      <c r="I326" s="56">
        <f>VLOOKUP(C326,质量因子_zz800!A:V,13,FALSE)</f>
        <v>1.0999999999999999E-2</v>
      </c>
      <c r="J326" s="2"/>
      <c r="K326" s="2"/>
      <c r="L326" s="2"/>
      <c r="M326" s="3"/>
      <c r="N326" s="68" t="s">
        <v>1922</v>
      </c>
      <c r="O326" t="s">
        <v>1923</v>
      </c>
    </row>
    <row r="327" spans="1:16" ht="28.5">
      <c r="A327" s="3" t="s">
        <v>1161</v>
      </c>
      <c r="B327" s="4" t="s">
        <v>1162</v>
      </c>
      <c r="C327" s="1" t="s">
        <v>1165</v>
      </c>
      <c r="D327" s="2" t="s">
        <v>1924</v>
      </c>
      <c r="E327" s="2" t="s">
        <v>393</v>
      </c>
      <c r="F327" s="2" t="s">
        <v>655</v>
      </c>
      <c r="G327" s="6" t="s">
        <v>2042</v>
      </c>
      <c r="H327" s="56">
        <f>VLOOKUP(C327,质量因子_broad!A:V,13,FALSE)</f>
        <v>7.0000000000000001E-3</v>
      </c>
      <c r="I327" s="56">
        <f>VLOOKUP(C327,质量因子_zz800!A:V,13,FALSE)</f>
        <v>1.0999999999999999E-2</v>
      </c>
      <c r="J327" s="2"/>
      <c r="K327" s="2"/>
      <c r="L327" s="2"/>
      <c r="M327" s="3"/>
      <c r="N327" s="68" t="s">
        <v>1922</v>
      </c>
      <c r="O327" t="s">
        <v>1923</v>
      </c>
    </row>
    <row r="328" spans="1:16" ht="28.5">
      <c r="A328" s="3" t="s">
        <v>1161</v>
      </c>
      <c r="B328" s="4" t="s">
        <v>1162</v>
      </c>
      <c r="C328" s="1" t="s">
        <v>1166</v>
      </c>
      <c r="D328" s="2" t="s">
        <v>1926</v>
      </c>
      <c r="E328" s="2" t="s">
        <v>1941</v>
      </c>
      <c r="F328" s="2"/>
      <c r="G328" s="2"/>
      <c r="H328" s="56">
        <f>VLOOKUP(C328,质量因子_broad!A:V,13,FALSE)</f>
        <v>0.01</v>
      </c>
      <c r="I328" s="56">
        <f>VLOOKUP(C328,质量因子_zz800!A:V,13,FALSE)</f>
        <v>0.01</v>
      </c>
      <c r="J328" s="2"/>
      <c r="K328" s="2"/>
      <c r="L328" s="2"/>
      <c r="M328" s="3"/>
      <c r="N328" s="68" t="s">
        <v>1925</v>
      </c>
      <c r="O328" t="s">
        <v>1923</v>
      </c>
    </row>
    <row r="329" spans="1:16" ht="28.5">
      <c r="A329" s="3" t="s">
        <v>1161</v>
      </c>
      <c r="B329" s="4" t="s">
        <v>1162</v>
      </c>
      <c r="C329" s="1" t="s">
        <v>1167</v>
      </c>
      <c r="D329" s="2" t="s">
        <v>1168</v>
      </c>
      <c r="E329" s="2" t="s">
        <v>397</v>
      </c>
      <c r="F329" s="2" t="s">
        <v>655</v>
      </c>
      <c r="G329" s="6" t="s">
        <v>2042</v>
      </c>
      <c r="H329" s="56">
        <f>VLOOKUP(C329,质量因子_broad!A:V,13,FALSE)</f>
        <v>8.0000000000000002E-3</v>
      </c>
      <c r="I329" s="56">
        <f>VLOOKUP(C329,质量因子_zz800!A:V,13,FALSE)</f>
        <v>0.01</v>
      </c>
      <c r="J329" s="2"/>
      <c r="K329" s="2"/>
      <c r="L329" s="2"/>
      <c r="M329" s="3"/>
      <c r="N329" s="68" t="s">
        <v>1927</v>
      </c>
      <c r="O329" t="s">
        <v>1923</v>
      </c>
    </row>
    <row r="330" spans="1:16">
      <c r="A330" s="3" t="s">
        <v>1169</v>
      </c>
      <c r="B330" s="4" t="s">
        <v>1175</v>
      </c>
      <c r="C330" s="1" t="s">
        <v>1176</v>
      </c>
      <c r="D330" s="2" t="s">
        <v>1949</v>
      </c>
      <c r="E330" s="2" t="s">
        <v>1952</v>
      </c>
      <c r="F330" s="2"/>
      <c r="G330" s="6" t="s">
        <v>2043</v>
      </c>
      <c r="H330" s="56">
        <f>VLOOKUP(C330,质量因子_broad!A:V,13,FALSE)</f>
        <v>2.1000000000000001E-2</v>
      </c>
      <c r="I330" s="56">
        <f>VLOOKUP(C330,质量因子_zz800!A:V,13,FALSE)</f>
        <v>2.4E-2</v>
      </c>
      <c r="J330" s="2"/>
      <c r="K330" s="2" t="s">
        <v>1177</v>
      </c>
      <c r="L330" s="2" t="s">
        <v>1178</v>
      </c>
      <c r="M330" s="3"/>
      <c r="N330" s="68" t="s">
        <v>1948</v>
      </c>
      <c r="O330" s="65" t="s">
        <v>1923</v>
      </c>
    </row>
    <row r="331" spans="1:16">
      <c r="A331" s="3" t="s">
        <v>1169</v>
      </c>
      <c r="B331" s="4" t="s">
        <v>1175</v>
      </c>
      <c r="C331" s="1" t="s">
        <v>1179</v>
      </c>
      <c r="D331" s="6" t="s">
        <v>1950</v>
      </c>
      <c r="E331" s="2" t="s">
        <v>1953</v>
      </c>
      <c r="F331" s="2"/>
      <c r="G331" s="2"/>
      <c r="H331" s="56">
        <f>VLOOKUP(C331,质量因子_broad!A:V,13,FALSE)</f>
        <v>7.0000000000000001E-3</v>
      </c>
      <c r="I331" s="56">
        <f>VLOOKUP(C331,质量因子_zz800!A:V,13,FALSE)</f>
        <v>8.0000000000000002E-3</v>
      </c>
      <c r="J331" s="2"/>
      <c r="K331" s="2" t="s">
        <v>1177</v>
      </c>
      <c r="L331" s="2" t="s">
        <v>1178</v>
      </c>
      <c r="M331" s="3"/>
      <c r="N331" s="68" t="s">
        <v>1948</v>
      </c>
      <c r="O331" s="65" t="s">
        <v>1923</v>
      </c>
      <c r="P331" s="65" t="s">
        <v>1951</v>
      </c>
    </row>
    <row r="332" spans="1:16">
      <c r="A332" s="3" t="s">
        <v>1169</v>
      </c>
      <c r="B332" s="4" t="s">
        <v>1175</v>
      </c>
      <c r="C332" s="1" t="s">
        <v>1180</v>
      </c>
      <c r="D332" s="2" t="s">
        <v>1929</v>
      </c>
      <c r="E332" s="2" t="s">
        <v>1930</v>
      </c>
      <c r="F332" s="2"/>
      <c r="G332" s="2"/>
      <c r="H332" s="56">
        <f>VLOOKUP(C332,质量因子_broad!A:V,13,FALSE)</f>
        <v>0</v>
      </c>
      <c r="I332" s="56">
        <f>VLOOKUP(C332,质量因子_zz800!A:V,13,FALSE)</f>
        <v>6.0000000000000001E-3</v>
      </c>
      <c r="J332" s="2"/>
      <c r="K332" s="2"/>
      <c r="L332" s="2"/>
      <c r="M332" s="3"/>
      <c r="N332" s="68" t="s">
        <v>1928</v>
      </c>
      <c r="O332" t="s">
        <v>1954</v>
      </c>
    </row>
    <row r="333" spans="1:16">
      <c r="A333" s="3" t="s">
        <v>1169</v>
      </c>
      <c r="B333" s="4" t="s">
        <v>1175</v>
      </c>
      <c r="C333" s="1" t="s">
        <v>1183</v>
      </c>
      <c r="D333" s="2" t="s">
        <v>1184</v>
      </c>
      <c r="E333" s="2" t="s">
        <v>1957</v>
      </c>
      <c r="F333" s="2"/>
      <c r="G333" s="2"/>
      <c r="H333" s="56">
        <f>VLOOKUP(C333,质量因子_broad!A:V,13,FALSE)</f>
        <v>2E-3</v>
      </c>
      <c r="I333" s="56">
        <f>VLOOKUP(C333,质量因子_zz800!A:V,13,FALSE)</f>
        <v>4.0000000000000001E-3</v>
      </c>
      <c r="J333" s="2"/>
      <c r="K333" s="2" t="s">
        <v>1177</v>
      </c>
      <c r="L333" s="2" t="s">
        <v>1178</v>
      </c>
      <c r="M333" s="3"/>
      <c r="N333" s="68" t="s">
        <v>1955</v>
      </c>
      <c r="O333" s="65" t="s">
        <v>1954</v>
      </c>
    </row>
    <row r="334" spans="1:16">
      <c r="A334" s="3" t="s">
        <v>1169</v>
      </c>
      <c r="B334" s="4" t="s">
        <v>1175</v>
      </c>
      <c r="C334" s="1" t="s">
        <v>1185</v>
      </c>
      <c r="D334" s="2" t="s">
        <v>1956</v>
      </c>
      <c r="E334" s="2" t="s">
        <v>1958</v>
      </c>
      <c r="F334" s="2"/>
      <c r="G334" s="2"/>
      <c r="H334" s="56">
        <f>VLOOKUP(C334,质量因子_broad!A:V,13,FALSE)</f>
        <v>1E-3</v>
      </c>
      <c r="I334" s="56">
        <f>VLOOKUP(C334,质量因子_zz800!A:V,13,FALSE)</f>
        <v>2E-3</v>
      </c>
      <c r="J334" s="2"/>
      <c r="K334" s="2" t="s">
        <v>1177</v>
      </c>
      <c r="L334" s="2" t="s">
        <v>1178</v>
      </c>
      <c r="M334" s="3"/>
      <c r="N334" s="68" t="s">
        <v>1955</v>
      </c>
    </row>
    <row r="335" spans="1:16">
      <c r="A335" s="3" t="s">
        <v>1169</v>
      </c>
      <c r="B335" s="4" t="s">
        <v>1175</v>
      </c>
      <c r="C335" s="1" t="s">
        <v>1186</v>
      </c>
      <c r="D335" s="2" t="s">
        <v>1187</v>
      </c>
      <c r="E335" s="2"/>
      <c r="F335" s="2"/>
      <c r="G335" s="2"/>
      <c r="H335" s="56">
        <f>VLOOKUP(C335,质量因子_broad!A:V,13,FALSE)</f>
        <v>-1E-3</v>
      </c>
      <c r="I335" s="56">
        <f>VLOOKUP(C335,质量因子_zz800!A:V,13,FALSE)</f>
        <v>4.0000000000000001E-3</v>
      </c>
      <c r="J335" s="2"/>
      <c r="K335" s="2" t="s">
        <v>1177</v>
      </c>
      <c r="L335" s="2" t="s">
        <v>1178</v>
      </c>
      <c r="M335" s="3"/>
      <c r="N335" s="68" t="s">
        <v>1959</v>
      </c>
      <c r="O335" s="23" t="s">
        <v>1954</v>
      </c>
    </row>
    <row r="336" spans="1:16">
      <c r="A336" s="3" t="s">
        <v>1169</v>
      </c>
      <c r="B336" s="4" t="s">
        <v>1175</v>
      </c>
      <c r="C336" s="1" t="s">
        <v>1188</v>
      </c>
      <c r="D336" s="2" t="s">
        <v>1189</v>
      </c>
      <c r="E336" s="2"/>
      <c r="F336" s="2"/>
      <c r="G336" s="2"/>
      <c r="H336" s="56">
        <f>VLOOKUP(C336,质量因子_broad!A:V,13,FALSE)</f>
        <v>5.0000000000000001E-3</v>
      </c>
      <c r="I336" s="56">
        <f>VLOOKUP(C336,质量因子_zz800!A:V,13,FALSE)</f>
        <v>6.0000000000000001E-3</v>
      </c>
      <c r="J336" s="2"/>
      <c r="K336" s="2" t="s">
        <v>1177</v>
      </c>
      <c r="L336" s="2" t="s">
        <v>1178</v>
      </c>
      <c r="M336" s="3"/>
      <c r="N336" s="68" t="s">
        <v>1959</v>
      </c>
      <c r="O336" s="65" t="s">
        <v>1954</v>
      </c>
    </row>
    <row r="337" spans="1:15">
      <c r="A337" s="3" t="s">
        <v>1169</v>
      </c>
      <c r="B337" s="4" t="s">
        <v>1175</v>
      </c>
      <c r="C337" s="1" t="s">
        <v>1192</v>
      </c>
      <c r="D337" s="2" t="s">
        <v>1961</v>
      </c>
      <c r="E337" s="2" t="s">
        <v>420</v>
      </c>
      <c r="F337" s="2" t="s">
        <v>655</v>
      </c>
      <c r="G337" s="6" t="s">
        <v>2042</v>
      </c>
      <c r="H337" s="56">
        <f>VLOOKUP(C337,质量因子_broad!A:V,13,FALSE)</f>
        <v>2.1000000000000001E-2</v>
      </c>
      <c r="I337" s="56">
        <f>VLOOKUP(C337,质量因子_zz800!A:V,13,FALSE)</f>
        <v>2.4E-2</v>
      </c>
      <c r="J337" s="2"/>
      <c r="K337" s="2"/>
      <c r="L337" s="2"/>
      <c r="M337" s="3"/>
      <c r="N337" s="68" t="s">
        <v>1960</v>
      </c>
      <c r="O337" s="23" t="s">
        <v>1954</v>
      </c>
    </row>
    <row r="338" spans="1:15" ht="69.75">
      <c r="A338" s="3" t="s">
        <v>1169</v>
      </c>
      <c r="B338" s="4" t="s">
        <v>1175</v>
      </c>
      <c r="C338" s="1" t="s">
        <v>1209</v>
      </c>
      <c r="D338" s="2" t="s">
        <v>1997</v>
      </c>
      <c r="E338" s="2" t="s">
        <v>440</v>
      </c>
      <c r="F338" s="2" t="s">
        <v>655</v>
      </c>
      <c r="G338" s="6" t="s">
        <v>2042</v>
      </c>
      <c r="H338" s="56">
        <f>VLOOKUP(C338,质量因子_broad!A:V,13,FALSE)</f>
        <v>1.4999999999999999E-2</v>
      </c>
      <c r="I338" s="56">
        <f>VLOOKUP(C338,质量因子_zz800!A:V,13,FALSE)</f>
        <v>0.02</v>
      </c>
      <c r="J338" s="2"/>
      <c r="K338" s="2"/>
      <c r="L338" s="2"/>
      <c r="M338" s="3"/>
      <c r="N338" s="66" t="s">
        <v>1962</v>
      </c>
      <c r="O338" s="23" t="s">
        <v>1954</v>
      </c>
    </row>
    <row r="339" spans="1:15">
      <c r="A339" s="3" t="s">
        <v>1238</v>
      </c>
      <c r="B339" s="4" t="s">
        <v>1239</v>
      </c>
      <c r="C339" s="1" t="s">
        <v>1240</v>
      </c>
      <c r="D339" s="2" t="s">
        <v>1964</v>
      </c>
      <c r="E339" s="2" t="s">
        <v>1970</v>
      </c>
      <c r="F339" s="2"/>
      <c r="G339" s="2"/>
      <c r="H339" s="56">
        <f>VLOOKUP(C339,质量因子_broad!A:V,13,FALSE)</f>
        <v>1.2E-2</v>
      </c>
      <c r="I339" s="56">
        <f>VLOOKUP(C339,质量因子_zz800!A:V,13,FALSE)</f>
        <v>1.4E-2</v>
      </c>
      <c r="J339" s="2"/>
      <c r="K339" s="2"/>
      <c r="L339" s="2"/>
      <c r="M339" s="3"/>
      <c r="N339" s="68" t="s">
        <v>1963</v>
      </c>
      <c r="O339" s="23" t="s">
        <v>1965</v>
      </c>
    </row>
    <row r="340" spans="1:15" ht="28.5">
      <c r="A340" s="3" t="s">
        <v>1238</v>
      </c>
      <c r="B340" s="4" t="s">
        <v>1239</v>
      </c>
      <c r="C340" s="1" t="s">
        <v>1241</v>
      </c>
      <c r="D340" s="2" t="s">
        <v>1967</v>
      </c>
      <c r="E340" s="2" t="s">
        <v>470</v>
      </c>
      <c r="F340" s="2" t="s">
        <v>655</v>
      </c>
      <c r="G340" s="6" t="s">
        <v>2042</v>
      </c>
      <c r="H340" s="56">
        <f>VLOOKUP(C340,质量因子_broad!A:V,13,FALSE)</f>
        <v>2.4E-2</v>
      </c>
      <c r="I340" s="56">
        <f>VLOOKUP(C340,质量因子_zz800!A:V,13,FALSE)</f>
        <v>2.7E-2</v>
      </c>
      <c r="J340" s="2"/>
      <c r="K340" s="2"/>
      <c r="L340" s="2"/>
      <c r="M340" s="3"/>
      <c r="N340" s="68" t="s">
        <v>1966</v>
      </c>
      <c r="O340" s="23" t="s">
        <v>1923</v>
      </c>
    </row>
    <row r="341" spans="1:15">
      <c r="A341" s="3" t="s">
        <v>1238</v>
      </c>
      <c r="B341" s="4" t="s">
        <v>1239</v>
      </c>
      <c r="C341" s="1" t="s">
        <v>1250</v>
      </c>
      <c r="D341" s="2" t="s">
        <v>1968</v>
      </c>
      <c r="E341" s="2" t="s">
        <v>1969</v>
      </c>
      <c r="F341" s="2" t="s">
        <v>655</v>
      </c>
      <c r="G341" s="6" t="s">
        <v>2042</v>
      </c>
      <c r="H341" s="56">
        <f>VLOOKUP(C341,质量因子_broad!A:V,13,FALSE)</f>
        <v>2.7E-2</v>
      </c>
      <c r="I341" s="56">
        <f>VLOOKUP(C341,质量因子_zz800!A:V,13,FALSE)</f>
        <v>0.03</v>
      </c>
      <c r="J341" s="2"/>
      <c r="K341" s="2"/>
      <c r="L341" s="2"/>
      <c r="M341" s="3"/>
      <c r="O341" s="23" t="s">
        <v>1923</v>
      </c>
    </row>
    <row r="342" spans="1:15" ht="28.5">
      <c r="A342" s="3" t="s">
        <v>1238</v>
      </c>
      <c r="B342" s="4" t="s">
        <v>1239</v>
      </c>
      <c r="C342" s="1" t="s">
        <v>1251</v>
      </c>
      <c r="D342" s="2" t="s">
        <v>1252</v>
      </c>
      <c r="E342" s="2" t="s">
        <v>1973</v>
      </c>
      <c r="F342" s="2"/>
      <c r="G342" s="2"/>
      <c r="H342" s="56">
        <f>VLOOKUP(C342,质量因子_broad!A:V,13,FALSE)</f>
        <v>3.0000000000000001E-3</v>
      </c>
      <c r="I342" s="56">
        <f>VLOOKUP(C342,质量因子_zz800!A:V,13,FALSE)</f>
        <v>5.0000000000000001E-3</v>
      </c>
      <c r="J342" s="2"/>
      <c r="K342" s="2" t="s">
        <v>1245</v>
      </c>
      <c r="L342" s="2" t="s">
        <v>1253</v>
      </c>
      <c r="M342" s="3"/>
      <c r="N342" s="68" t="s">
        <v>1971</v>
      </c>
      <c r="O342" s="23" t="s">
        <v>1954</v>
      </c>
    </row>
    <row r="343" spans="1:15" ht="28.5">
      <c r="A343" s="3" t="s">
        <v>1238</v>
      </c>
      <c r="B343" s="4" t="s">
        <v>1239</v>
      </c>
      <c r="C343" s="1" t="s">
        <v>1254</v>
      </c>
      <c r="D343" s="2" t="s">
        <v>1972</v>
      </c>
      <c r="E343" s="2" t="s">
        <v>1974</v>
      </c>
      <c r="F343" s="2"/>
      <c r="G343" s="2"/>
      <c r="H343" s="56">
        <f>VLOOKUP(C343,质量因子_broad!A:V,13,FALSE)</f>
        <v>0</v>
      </c>
      <c r="I343" s="56">
        <f>VLOOKUP(C343,质量因子_zz800!A:V,13,FALSE)</f>
        <v>3.0000000000000001E-3</v>
      </c>
      <c r="J343" s="2"/>
      <c r="K343" s="2" t="s">
        <v>1245</v>
      </c>
      <c r="L343" s="2" t="s">
        <v>1253</v>
      </c>
      <c r="M343" s="3"/>
      <c r="N343" s="68" t="s">
        <v>1971</v>
      </c>
      <c r="O343" s="23" t="s">
        <v>1954</v>
      </c>
    </row>
    <row r="344" spans="1:15">
      <c r="A344" s="3" t="s">
        <v>1169</v>
      </c>
      <c r="B344" s="4" t="s">
        <v>1197</v>
      </c>
      <c r="C344" s="1" t="s">
        <v>1198</v>
      </c>
      <c r="D344" s="2" t="s">
        <v>1199</v>
      </c>
      <c r="E344" s="2" t="s">
        <v>1975</v>
      </c>
      <c r="F344" s="2"/>
      <c r="G344" s="2"/>
      <c r="H344" s="56">
        <f>VLOOKUP(C344,质量因子_broad!A:V,13,FALSE)</f>
        <v>2E-3</v>
      </c>
      <c r="I344" s="56">
        <f>VLOOKUP(C344,质量因子_zz800!A:V,13,FALSE)</f>
        <v>0</v>
      </c>
      <c r="J344" s="2"/>
      <c r="K344" s="2"/>
      <c r="L344" s="2"/>
      <c r="M344" s="3"/>
    </row>
    <row r="345" spans="1:15">
      <c r="A345" s="3" t="s">
        <v>1169</v>
      </c>
      <c r="B345" s="4" t="s">
        <v>1197</v>
      </c>
      <c r="C345" s="1" t="s">
        <v>1210</v>
      </c>
      <c r="D345" s="2" t="s">
        <v>1211</v>
      </c>
      <c r="E345" s="2" t="s">
        <v>1976</v>
      </c>
      <c r="F345" s="2"/>
      <c r="G345" s="2"/>
      <c r="H345" s="56">
        <f>VLOOKUP(C345,质量因子_broad!A:V,13,FALSE)</f>
        <v>5.0000000000000001E-3</v>
      </c>
      <c r="I345" s="56">
        <f>VLOOKUP(C345,质量因子_zz800!A:V,13,FALSE)</f>
        <v>1.4E-2</v>
      </c>
      <c r="J345" s="2"/>
      <c r="K345" s="2"/>
      <c r="L345" s="2"/>
      <c r="M345" s="3"/>
    </row>
    <row r="346" spans="1:15">
      <c r="A346" s="3" t="s">
        <v>1169</v>
      </c>
      <c r="B346" s="4" t="s">
        <v>1197</v>
      </c>
      <c r="C346" s="1" t="s">
        <v>1212</v>
      </c>
      <c r="D346" s="2" t="s">
        <v>1213</v>
      </c>
      <c r="E346" s="2" t="s">
        <v>1977</v>
      </c>
      <c r="F346" s="2"/>
      <c r="G346" s="2"/>
      <c r="H346" s="56">
        <f>VLOOKUP(C346,质量因子_broad!A:V,13,FALSE)</f>
        <v>1.2999999999999999E-2</v>
      </c>
      <c r="I346" s="56">
        <f>VLOOKUP(C346,质量因子_zz800!A:V,13,FALSE)</f>
        <v>0.01</v>
      </c>
      <c r="J346" s="2"/>
      <c r="K346" s="2"/>
      <c r="L346" s="2"/>
      <c r="M346" s="3"/>
    </row>
    <row r="347" spans="1:15">
      <c r="A347" s="3" t="s">
        <v>1169</v>
      </c>
      <c r="B347" s="4" t="s">
        <v>1197</v>
      </c>
      <c r="C347" s="1" t="s">
        <v>1219</v>
      </c>
      <c r="D347" s="2" t="s">
        <v>1220</v>
      </c>
      <c r="E347" s="2" t="s">
        <v>1938</v>
      </c>
      <c r="F347" s="2"/>
      <c r="G347" s="2"/>
      <c r="H347" s="56">
        <f>VLOOKUP(C347,质量因子_broad!A:V,13,FALSE)</f>
        <v>5.0000000000000001E-3</v>
      </c>
      <c r="I347" s="56">
        <f>VLOOKUP(C347,质量因子_zz800!A:V,13,FALSE)</f>
        <v>1E-3</v>
      </c>
      <c r="J347" s="2"/>
      <c r="K347" s="2" t="s">
        <v>1177</v>
      </c>
      <c r="L347" s="2" t="s">
        <v>1221</v>
      </c>
      <c r="M347" s="3"/>
      <c r="N347" s="68" t="s">
        <v>1979</v>
      </c>
      <c r="O347" t="s">
        <v>1923</v>
      </c>
    </row>
    <row r="348" spans="1:15">
      <c r="A348" s="3" t="s">
        <v>1169</v>
      </c>
      <c r="B348" s="4" t="s">
        <v>1197</v>
      </c>
      <c r="C348" s="1" t="s">
        <v>1222</v>
      </c>
      <c r="D348" s="2" t="s">
        <v>1223</v>
      </c>
      <c r="E348" s="2" t="s">
        <v>1978</v>
      </c>
      <c r="F348" s="2"/>
      <c r="G348" s="2"/>
      <c r="H348" s="56">
        <f>VLOOKUP(C348,质量因子_broad!A:V,13,FALSE)</f>
        <v>7.0000000000000001E-3</v>
      </c>
      <c r="I348" s="56">
        <f>VLOOKUP(C348,质量因子_zz800!A:V,13,FALSE)</f>
        <v>1.0999999999999999E-2</v>
      </c>
      <c r="J348" s="2"/>
      <c r="K348" s="2" t="s">
        <v>1177</v>
      </c>
      <c r="L348" s="2" t="s">
        <v>1221</v>
      </c>
      <c r="M348" s="3"/>
      <c r="N348" s="68" t="s">
        <v>1979</v>
      </c>
      <c r="O348" t="s">
        <v>1923</v>
      </c>
    </row>
    <row r="349" spans="1:15">
      <c r="A349" s="3" t="s">
        <v>1169</v>
      </c>
      <c r="B349" s="4" t="s">
        <v>1197</v>
      </c>
      <c r="C349" s="1" t="s">
        <v>1228</v>
      </c>
      <c r="D349" s="2" t="s">
        <v>1229</v>
      </c>
      <c r="E349" s="2" t="s">
        <v>1980</v>
      </c>
      <c r="F349" s="2"/>
      <c r="G349" s="2"/>
      <c r="H349" s="56">
        <f>VLOOKUP(C349,质量因子_broad!A:V,13,FALSE)</f>
        <v>3.1E-2</v>
      </c>
      <c r="I349" s="56">
        <f>VLOOKUP(C349,质量因子_zz800!A:V,13,FALSE)</f>
        <v>2.4E-2</v>
      </c>
      <c r="J349" s="2"/>
      <c r="K349" s="2"/>
      <c r="L349" s="2"/>
      <c r="M349" s="3"/>
    </row>
    <row r="350" spans="1:15">
      <c r="A350" s="3" t="s">
        <v>1169</v>
      </c>
      <c r="B350" s="4" t="s">
        <v>1197</v>
      </c>
      <c r="C350" s="1" t="s">
        <v>1230</v>
      </c>
      <c r="D350" s="2" t="s">
        <v>1231</v>
      </c>
      <c r="E350" s="2" t="s">
        <v>463</v>
      </c>
      <c r="F350" s="2" t="s">
        <v>655</v>
      </c>
      <c r="G350" s="6" t="s">
        <v>2042</v>
      </c>
      <c r="H350" s="56">
        <f>VLOOKUP(C350,质量因子_broad!A:V,13,FALSE)</f>
        <v>3.5000000000000003E-2</v>
      </c>
      <c r="I350" s="56">
        <f>VLOOKUP(C350,质量因子_zz800!A:V,13,FALSE)</f>
        <v>2.5000000000000001E-2</v>
      </c>
      <c r="J350" s="2"/>
      <c r="K350" s="2"/>
      <c r="L350" s="2"/>
      <c r="M350" s="3"/>
    </row>
    <row r="351" spans="1:15">
      <c r="A351" s="3" t="s">
        <v>1169</v>
      </c>
      <c r="B351" s="4" t="s">
        <v>1197</v>
      </c>
      <c r="C351" s="1" t="s">
        <v>1232</v>
      </c>
      <c r="D351" s="2" t="s">
        <v>1233</v>
      </c>
      <c r="E351" s="2" t="s">
        <v>1981</v>
      </c>
      <c r="F351" s="2"/>
      <c r="G351" s="2"/>
      <c r="H351" s="56">
        <f>VLOOKUP(C351,质量因子_broad!A:V,13,FALSE)</f>
        <v>6.0000000000000001E-3</v>
      </c>
      <c r="I351" s="56">
        <f>VLOOKUP(C351,质量因子_zz800!A:V,13,FALSE)</f>
        <v>-3.0000000000000001E-3</v>
      </c>
      <c r="J351" s="2"/>
      <c r="K351" s="2"/>
      <c r="L351" s="2"/>
      <c r="M351" s="3"/>
    </row>
    <row r="352" spans="1:15" ht="28.5">
      <c r="A352" s="3" t="s">
        <v>1238</v>
      </c>
      <c r="B352" s="4" t="s">
        <v>1242</v>
      </c>
      <c r="C352" s="1" t="s">
        <v>1243</v>
      </c>
      <c r="D352" s="2" t="s">
        <v>1244</v>
      </c>
      <c r="E352" s="2" t="s">
        <v>1982</v>
      </c>
      <c r="F352" s="2"/>
      <c r="G352" s="2"/>
      <c r="H352" s="56">
        <f>VLOOKUP(C352,质量因子_broad!A:V,13,FALSE)</f>
        <v>5.0000000000000001E-3</v>
      </c>
      <c r="I352" s="56">
        <f>VLOOKUP(C352,质量因子_zz800!A:V,13,FALSE)</f>
        <v>8.0000000000000002E-3</v>
      </c>
      <c r="J352" s="2"/>
      <c r="K352" s="2" t="s">
        <v>1245</v>
      </c>
      <c r="L352" s="2" t="s">
        <v>1246</v>
      </c>
      <c r="M352" s="3"/>
      <c r="N352" s="68" t="s">
        <v>1985</v>
      </c>
      <c r="O352" s="65" t="s">
        <v>1983</v>
      </c>
    </row>
    <row r="353" spans="1:17">
      <c r="A353" s="3" t="s">
        <v>1238</v>
      </c>
      <c r="B353" s="4" t="s">
        <v>1242</v>
      </c>
      <c r="C353" s="1" t="s">
        <v>1255</v>
      </c>
      <c r="D353" s="2" t="s">
        <v>1256</v>
      </c>
      <c r="E353" s="2" t="s">
        <v>1984</v>
      </c>
      <c r="F353" s="2"/>
      <c r="G353" s="2"/>
      <c r="H353" s="56">
        <f>VLOOKUP(C353,质量因子_broad!A:V,13,FALSE)</f>
        <v>-3.0000000000000001E-3</v>
      </c>
      <c r="I353" s="56">
        <f>VLOOKUP(C353,质量因子_zz800!A:V,13,FALSE)</f>
        <v>-3.0000000000000001E-3</v>
      </c>
      <c r="J353" s="2"/>
      <c r="K353" s="2" t="s">
        <v>1245</v>
      </c>
      <c r="L353" s="2" t="s">
        <v>1246</v>
      </c>
      <c r="M353" s="3"/>
      <c r="N353" s="68" t="s">
        <v>1991</v>
      </c>
      <c r="O353" s="65" t="s">
        <v>1992</v>
      </c>
    </row>
    <row r="354" spans="1:17" ht="28.5">
      <c r="A354" s="3" t="s">
        <v>1238</v>
      </c>
      <c r="B354" s="4" t="s">
        <v>1242</v>
      </c>
      <c r="C354" s="1" t="s">
        <v>1257</v>
      </c>
      <c r="D354" s="2" t="s">
        <v>1258</v>
      </c>
      <c r="E354" s="2" t="s">
        <v>1984</v>
      </c>
      <c r="F354" s="2"/>
      <c r="G354" s="2"/>
      <c r="H354" s="56">
        <f>VLOOKUP(C354,质量因子_broad!A:V,13,FALSE)</f>
        <v>6.0000000000000001E-3</v>
      </c>
      <c r="I354" s="56">
        <f>VLOOKUP(C354,质量因子_zz800!A:V,13,FALSE)</f>
        <v>7.0000000000000001E-3</v>
      </c>
      <c r="J354" s="2"/>
      <c r="K354" s="2" t="s">
        <v>1245</v>
      </c>
      <c r="L354" s="2" t="s">
        <v>1246</v>
      </c>
      <c r="M354" s="3"/>
      <c r="N354" s="68" t="s">
        <v>1991</v>
      </c>
      <c r="O354" s="65" t="s">
        <v>1992</v>
      </c>
    </row>
    <row r="355" spans="1:17">
      <c r="A355" s="3" t="s">
        <v>1238</v>
      </c>
      <c r="B355" s="4" t="s">
        <v>1242</v>
      </c>
      <c r="C355" s="1" t="s">
        <v>1268</v>
      </c>
      <c r="D355" s="2" t="s">
        <v>1269</v>
      </c>
      <c r="E355" s="2" t="s">
        <v>1986</v>
      </c>
      <c r="F355" s="2"/>
      <c r="G355" s="2"/>
      <c r="H355" s="56">
        <f>VLOOKUP(C355,质量因子_broad!A:V,13,FALSE)</f>
        <v>1.2E-2</v>
      </c>
      <c r="I355" s="56">
        <f>VLOOKUP(C355,质量因子_zz800!A:V,13,FALSE)</f>
        <v>-2E-3</v>
      </c>
      <c r="J355" s="2"/>
      <c r="K355" s="2"/>
      <c r="L355" s="2"/>
      <c r="M355" s="3"/>
    </row>
    <row r="356" spans="1:17">
      <c r="A356" s="3" t="s">
        <v>1238</v>
      </c>
      <c r="B356" s="4" t="s">
        <v>1242</v>
      </c>
      <c r="C356" s="1" t="s">
        <v>1270</v>
      </c>
      <c r="D356" s="2" t="s">
        <v>1271</v>
      </c>
      <c r="E356" s="2" t="s">
        <v>1987</v>
      </c>
      <c r="F356" s="2"/>
      <c r="G356" s="2"/>
      <c r="H356" s="56">
        <f>VLOOKUP(C356,质量因子_broad!A:V,13,FALSE)</f>
        <v>0.01</v>
      </c>
      <c r="I356" s="56">
        <f>VLOOKUP(C356,质量因子_zz800!A:V,13,FALSE)</f>
        <v>4.0000000000000001E-3</v>
      </c>
      <c r="J356" s="2"/>
      <c r="K356" s="2"/>
      <c r="L356" s="2"/>
      <c r="M356" s="3"/>
    </row>
    <row r="357" spans="1:17">
      <c r="A357" s="3" t="s">
        <v>1238</v>
      </c>
      <c r="B357" s="4" t="s">
        <v>1242</v>
      </c>
      <c r="C357" s="1" t="s">
        <v>1276</v>
      </c>
      <c r="D357" s="2" t="s">
        <v>1277</v>
      </c>
      <c r="E357" s="2" t="s">
        <v>1988</v>
      </c>
      <c r="F357" s="2"/>
      <c r="G357" s="2"/>
      <c r="H357" s="56">
        <f>VLOOKUP(C357,质量因子_broad!A:V,13,FALSE)</f>
        <v>8.9999999999999993E-3</v>
      </c>
      <c r="I357" s="56">
        <f>VLOOKUP(C357,质量因子_zz800!A:V,13,FALSE)</f>
        <v>1.2E-2</v>
      </c>
      <c r="J357" s="2"/>
      <c r="K357" s="2" t="s">
        <v>1245</v>
      </c>
      <c r="L357" s="2" t="s">
        <v>1246</v>
      </c>
      <c r="M357" s="3"/>
    </row>
    <row r="358" spans="1:17">
      <c r="A358" s="3" t="s">
        <v>1238</v>
      </c>
      <c r="B358" s="4" t="s">
        <v>1242</v>
      </c>
      <c r="C358" s="1" t="s">
        <v>1278</v>
      </c>
      <c r="D358" s="2" t="s">
        <v>1279</v>
      </c>
      <c r="E358" s="2" t="s">
        <v>1989</v>
      </c>
      <c r="F358" s="2"/>
      <c r="G358" s="2"/>
      <c r="H358" s="56">
        <f>VLOOKUP(C358,质量因子_broad!A:V,13,FALSE)</f>
        <v>8.9999999999999993E-3</v>
      </c>
      <c r="I358" s="56">
        <f>VLOOKUP(C358,质量因子_zz800!A:V,13,FALSE)</f>
        <v>1.0999999999999999E-2</v>
      </c>
      <c r="J358" s="2"/>
      <c r="K358" s="2" t="s">
        <v>1245</v>
      </c>
      <c r="L358" s="2" t="s">
        <v>1246</v>
      </c>
      <c r="M358" s="3"/>
    </row>
    <row r="359" spans="1:17" ht="42.75">
      <c r="A359" s="3" t="s">
        <v>1169</v>
      </c>
      <c r="B359" s="4" t="s">
        <v>1190</v>
      </c>
      <c r="C359" s="1" t="s">
        <v>1191</v>
      </c>
      <c r="D359" s="2" t="s">
        <v>1993</v>
      </c>
      <c r="E359" s="2" t="s">
        <v>1994</v>
      </c>
      <c r="F359" s="2"/>
      <c r="G359" s="2"/>
      <c r="H359" s="56">
        <f>VLOOKUP(C359,质量因子_broad!A:V,13,FALSE)</f>
        <v>0.01</v>
      </c>
      <c r="I359" s="56">
        <f>VLOOKUP(C359,质量因子_zz800!A:V,13,FALSE)</f>
        <v>1.4E-2</v>
      </c>
      <c r="J359" s="2"/>
      <c r="K359" s="2"/>
      <c r="L359" s="2"/>
      <c r="M359" s="3"/>
      <c r="N359" s="68" t="s">
        <v>1995</v>
      </c>
      <c r="O359" t="s">
        <v>1996</v>
      </c>
    </row>
    <row r="360" spans="1:17">
      <c r="A360" s="3" t="s">
        <v>1169</v>
      </c>
      <c r="B360" s="4" t="s">
        <v>1190</v>
      </c>
      <c r="C360" s="1" t="s">
        <v>1193</v>
      </c>
      <c r="D360" s="2" t="s">
        <v>1194</v>
      </c>
      <c r="E360" s="2" t="s">
        <v>1999</v>
      </c>
      <c r="F360" s="2"/>
      <c r="G360" s="2"/>
      <c r="H360" s="56">
        <f>VLOOKUP(C360,质量因子_broad!A:V,13,FALSE)</f>
        <v>1.6E-2</v>
      </c>
      <c r="I360" s="56">
        <f>VLOOKUP(C360,质量因子_zz800!A:V,13,FALSE)</f>
        <v>0.01</v>
      </c>
      <c r="J360" s="2"/>
      <c r="K360" s="2"/>
      <c r="L360" s="2"/>
      <c r="M360" s="3"/>
      <c r="N360" s="68" t="s">
        <v>1998</v>
      </c>
      <c r="O360" t="s">
        <v>1992</v>
      </c>
    </row>
    <row r="361" spans="1:17">
      <c r="A361" s="3" t="s">
        <v>1169</v>
      </c>
      <c r="B361" s="4" t="s">
        <v>1190</v>
      </c>
      <c r="C361" s="1" t="s">
        <v>1195</v>
      </c>
      <c r="D361" s="2" t="s">
        <v>1196</v>
      </c>
      <c r="E361" s="2" t="s">
        <v>2000</v>
      </c>
      <c r="F361" s="2"/>
      <c r="G361" s="2"/>
      <c r="H361" s="56">
        <f>VLOOKUP(C361,质量因子_broad!A:V,13,FALSE)</f>
        <v>2.1999999999999999E-2</v>
      </c>
      <c r="I361" s="56">
        <f>VLOOKUP(C361,质量因子_zz800!A:V,13,FALSE)</f>
        <v>1.0999999999999999E-2</v>
      </c>
      <c r="J361" s="2"/>
      <c r="K361" s="2"/>
      <c r="L361" s="2"/>
      <c r="M361" s="3"/>
      <c r="N361" s="68" t="s">
        <v>1998</v>
      </c>
      <c r="O361" t="s">
        <v>1992</v>
      </c>
    </row>
    <row r="362" spans="1:17" ht="57">
      <c r="A362" s="3" t="s">
        <v>1169</v>
      </c>
      <c r="B362" s="4" t="s">
        <v>1190</v>
      </c>
      <c r="C362" s="1" t="s">
        <v>2259</v>
      </c>
      <c r="D362" s="2" t="s">
        <v>2007</v>
      </c>
      <c r="E362" s="2" t="s">
        <v>433</v>
      </c>
      <c r="F362" s="2" t="s">
        <v>655</v>
      </c>
      <c r="G362" s="6" t="s">
        <v>2045</v>
      </c>
      <c r="H362" s="56">
        <f>VLOOKUP(C362,质量因子_broad!A:V,13,FALSE)</f>
        <v>1.2999999999999999E-2</v>
      </c>
      <c r="I362" s="56">
        <f>VLOOKUP(C362,质量因子_zz800!A:V,13,FALSE)</f>
        <v>1.2E-2</v>
      </c>
      <c r="J362" s="68" t="s">
        <v>2003</v>
      </c>
      <c r="K362" t="s">
        <v>1992</v>
      </c>
      <c r="L362" s="2"/>
      <c r="M362" s="3"/>
    </row>
    <row r="363" spans="1:17">
      <c r="A363" s="3" t="s">
        <v>1169</v>
      </c>
      <c r="B363" s="4" t="s">
        <v>1190</v>
      </c>
      <c r="C363" s="1" t="s">
        <v>1200</v>
      </c>
      <c r="D363" s="2" t="s">
        <v>1201</v>
      </c>
      <c r="E363" s="2" t="s">
        <v>2001</v>
      </c>
      <c r="F363" s="2"/>
      <c r="G363" s="2"/>
      <c r="H363" s="56">
        <f>VLOOKUP(C363,质量因子_broad!A:V,13,FALSE)</f>
        <v>1.9E-2</v>
      </c>
      <c r="I363" s="56">
        <f>VLOOKUP(C363,质量因子_zz800!A:V,13,FALSE)</f>
        <v>1.0999999999999999E-2</v>
      </c>
      <c r="J363" s="2"/>
      <c r="K363" s="2"/>
      <c r="L363" s="2"/>
      <c r="M363" s="3"/>
      <c r="N363" s="68" t="s">
        <v>2006</v>
      </c>
      <c r="O363" t="s">
        <v>1992</v>
      </c>
    </row>
    <row r="364" spans="1:17" ht="28.5">
      <c r="A364" s="3" t="s">
        <v>1169</v>
      </c>
      <c r="B364" s="4" t="s">
        <v>1190</v>
      </c>
      <c r="C364" s="1" t="s">
        <v>1202</v>
      </c>
      <c r="D364" s="2" t="s">
        <v>1203</v>
      </c>
      <c r="E364" s="2" t="s">
        <v>2002</v>
      </c>
      <c r="F364" s="2"/>
      <c r="G364" s="2"/>
      <c r="H364" s="56">
        <f>VLOOKUP(C364,质量因子_broad!A:V,13,FALSE)</f>
        <v>0.02</v>
      </c>
      <c r="I364" s="56">
        <f>VLOOKUP(C364,质量因子_zz800!A:V,13,FALSE)</f>
        <v>1.2E-2</v>
      </c>
      <c r="J364" s="2"/>
      <c r="K364" s="2"/>
      <c r="L364" s="2"/>
      <c r="M364" s="3"/>
      <c r="N364" s="68" t="s">
        <v>2005</v>
      </c>
      <c r="O364" t="s">
        <v>1992</v>
      </c>
    </row>
    <row r="365" spans="1:17" ht="28.5">
      <c r="A365" s="3" t="s">
        <v>1169</v>
      </c>
      <c r="B365" s="4" t="s">
        <v>1190</v>
      </c>
      <c r="C365" s="1" t="s">
        <v>1204</v>
      </c>
      <c r="D365" s="2" t="s">
        <v>2007</v>
      </c>
      <c r="E365" s="2" t="s">
        <v>433</v>
      </c>
      <c r="F365" s="2" t="s">
        <v>655</v>
      </c>
      <c r="G365" s="6" t="s">
        <v>2045</v>
      </c>
      <c r="H365" s="56">
        <f>VLOOKUP(C365,质量因子_broad!A:V,13,FALSE)</f>
        <v>1.6E-2</v>
      </c>
      <c r="I365" s="56">
        <f>VLOOKUP(C365,质量因子_zz800!A:V,13,FALSE)</f>
        <v>2.1999999999999999E-2</v>
      </c>
      <c r="J365" s="2"/>
      <c r="K365" s="2"/>
      <c r="L365" s="2"/>
      <c r="M365" s="3"/>
      <c r="N365" s="68" t="s">
        <v>2003</v>
      </c>
      <c r="O365" t="s">
        <v>1992</v>
      </c>
    </row>
    <row r="366" spans="1:17" ht="42.75">
      <c r="A366" s="3" t="s">
        <v>1169</v>
      </c>
      <c r="B366" s="4" t="s">
        <v>1190</v>
      </c>
      <c r="C366" s="1" t="s">
        <v>1205</v>
      </c>
      <c r="D366" s="2" t="s">
        <v>1206</v>
      </c>
      <c r="E366" s="2" t="s">
        <v>2010</v>
      </c>
      <c r="F366" s="2"/>
      <c r="G366" s="2"/>
      <c r="H366" s="56">
        <f>VLOOKUP(C366,质量因子_broad!A:V,13,FALSE)</f>
        <v>3.3000000000000002E-2</v>
      </c>
      <c r="I366" s="56">
        <f>VLOOKUP(C366,质量因子_zz800!A:V,13,FALSE)</f>
        <v>2.8000000000000001E-2</v>
      </c>
      <c r="J366" s="2"/>
      <c r="K366" s="2"/>
      <c r="L366" s="2"/>
      <c r="M366" s="3"/>
      <c r="N366" s="68" t="s">
        <v>2008</v>
      </c>
      <c r="O366" t="s">
        <v>2009</v>
      </c>
      <c r="Q366" t="s">
        <v>2046</v>
      </c>
    </row>
    <row r="367" spans="1:17">
      <c r="A367" s="3" t="s">
        <v>1169</v>
      </c>
      <c r="B367" s="4" t="s">
        <v>1190</v>
      </c>
      <c r="C367" s="1" t="s">
        <v>1214</v>
      </c>
      <c r="D367" s="2" t="s">
        <v>2012</v>
      </c>
      <c r="E367" s="2" t="s">
        <v>2011</v>
      </c>
      <c r="F367" s="2"/>
      <c r="G367" s="2"/>
      <c r="H367" s="56">
        <f>VLOOKUP(C367,质量因子_broad!A:V,13,FALSE)</f>
        <v>0.02</v>
      </c>
      <c r="I367" s="56">
        <f>VLOOKUP(C367,质量因子_zz800!A:V,13,FALSE)</f>
        <v>2.1999999999999999E-2</v>
      </c>
      <c r="J367" s="2"/>
      <c r="K367" s="2"/>
      <c r="L367" s="2"/>
      <c r="M367" s="3"/>
      <c r="N367" s="68" t="s">
        <v>2013</v>
      </c>
      <c r="O367" t="s">
        <v>1996</v>
      </c>
    </row>
    <row r="368" spans="1:17">
      <c r="A368" s="3" t="s">
        <v>1169</v>
      </c>
      <c r="B368" s="4" t="s">
        <v>1190</v>
      </c>
      <c r="C368" s="1" t="s">
        <v>1215</v>
      </c>
      <c r="D368" s="2" t="s">
        <v>1216</v>
      </c>
      <c r="E368" s="2" t="s">
        <v>448</v>
      </c>
      <c r="F368" s="2" t="s">
        <v>655</v>
      </c>
      <c r="G368" s="6" t="s">
        <v>2042</v>
      </c>
      <c r="H368" s="56">
        <f>VLOOKUP(C368,质量因子_broad!A:V,13,FALSE)</f>
        <v>0.02</v>
      </c>
      <c r="I368" s="56">
        <f>VLOOKUP(C368,质量因子_zz800!A:V,13,FALSE)</f>
        <v>2.1999999999999999E-2</v>
      </c>
      <c r="J368" s="2"/>
      <c r="K368" s="2"/>
      <c r="L368" s="2"/>
      <c r="M368" s="3"/>
      <c r="N368" s="68" t="s">
        <v>2014</v>
      </c>
      <c r="O368" t="s">
        <v>2015</v>
      </c>
    </row>
    <row r="369" spans="1:17">
      <c r="A369" s="3" t="s">
        <v>1169</v>
      </c>
      <c r="B369" s="4" t="s">
        <v>1190</v>
      </c>
      <c r="C369" s="1" t="s">
        <v>1217</v>
      </c>
      <c r="D369" s="2" t="s">
        <v>2017</v>
      </c>
      <c r="E369" s="2" t="s">
        <v>2016</v>
      </c>
      <c r="F369" s="2"/>
      <c r="G369" s="2"/>
      <c r="H369" s="56">
        <f>VLOOKUP(C369,质量因子_broad!A:V,13,FALSE)</f>
        <v>2.5000000000000001E-2</v>
      </c>
      <c r="I369" s="56">
        <f>VLOOKUP(C369,质量因子_zz800!A:V,13,FALSE)</f>
        <v>2.9000000000000001E-2</v>
      </c>
      <c r="J369" s="2"/>
      <c r="K369" s="2"/>
      <c r="L369" s="2"/>
      <c r="M369" s="3"/>
      <c r="N369" s="68" t="s">
        <v>2003</v>
      </c>
      <c r="O369" t="s">
        <v>1996</v>
      </c>
    </row>
    <row r="370" spans="1:17">
      <c r="A370" s="3" t="s">
        <v>1169</v>
      </c>
      <c r="B370" s="4" t="s">
        <v>1190</v>
      </c>
      <c r="C370" s="1" t="s">
        <v>1218</v>
      </c>
      <c r="D370" s="2" t="s">
        <v>2018</v>
      </c>
      <c r="E370" s="2"/>
      <c r="F370" s="2"/>
      <c r="G370" s="2"/>
      <c r="H370" s="56">
        <f>VLOOKUP(C370,质量因子_broad!A:V,13,FALSE)</f>
        <v>8.9999999999999993E-3</v>
      </c>
      <c r="I370" s="56">
        <f>VLOOKUP(C370,质量因子_zz800!A:V,13,FALSE)</f>
        <v>8.0000000000000002E-3</v>
      </c>
      <c r="J370" s="2"/>
      <c r="K370" s="2"/>
      <c r="L370" s="2"/>
      <c r="M370" s="3"/>
      <c r="N370" s="68" t="s">
        <v>2019</v>
      </c>
      <c r="O370" t="s">
        <v>1996</v>
      </c>
    </row>
    <row r="371" spans="1:17">
      <c r="A371" s="3" t="s">
        <v>1169</v>
      </c>
      <c r="B371" s="4" t="s">
        <v>1190</v>
      </c>
      <c r="C371" s="1" t="s">
        <v>1224</v>
      </c>
      <c r="D371" s="2" t="s">
        <v>1225</v>
      </c>
      <c r="E371" s="2" t="s">
        <v>458</v>
      </c>
      <c r="F371" s="2" t="s">
        <v>655</v>
      </c>
      <c r="G371" s="6" t="s">
        <v>2042</v>
      </c>
      <c r="H371" s="56">
        <f>VLOOKUP(C371,质量因子_broad!A:V,13,FALSE)</f>
        <v>2.3E-2</v>
      </c>
      <c r="I371" s="56">
        <f>VLOOKUP(C371,质量因子_zz800!A:V,13,FALSE)</f>
        <v>2.3E-2</v>
      </c>
      <c r="J371" s="2"/>
      <c r="K371" s="2"/>
      <c r="L371" s="2"/>
      <c r="M371" s="3"/>
      <c r="N371" s="68" t="s">
        <v>2020</v>
      </c>
      <c r="O371" t="s">
        <v>2021</v>
      </c>
    </row>
    <row r="372" spans="1:17">
      <c r="A372" s="3" t="s">
        <v>1238</v>
      </c>
      <c r="B372" s="4" t="s">
        <v>1247</v>
      </c>
      <c r="C372" s="1" t="s">
        <v>1919</v>
      </c>
      <c r="D372" s="2" t="s">
        <v>1260</v>
      </c>
      <c r="E372" s="2" t="s">
        <v>2032</v>
      </c>
      <c r="F372" s="2"/>
      <c r="G372" s="2"/>
      <c r="H372" s="56">
        <f>VLOOKUP(C372,质量因子_broad!A:V,13,FALSE)</f>
        <v>0.03</v>
      </c>
      <c r="I372" s="56">
        <f>VLOOKUP(C372,质量因子_zz800!A:V,13,FALSE)</f>
        <v>2.9000000000000001E-2</v>
      </c>
      <c r="J372" s="2"/>
      <c r="K372" s="2"/>
      <c r="L372" s="2"/>
      <c r="M372" s="3"/>
      <c r="N372" s="68" t="s">
        <v>2022</v>
      </c>
      <c r="O372" t="s">
        <v>1996</v>
      </c>
      <c r="Q372" t="s">
        <v>2046</v>
      </c>
    </row>
    <row r="373" spans="1:17">
      <c r="A373" s="3" t="s">
        <v>1238</v>
      </c>
      <c r="B373" s="4" t="s">
        <v>1247</v>
      </c>
      <c r="C373" s="1" t="s">
        <v>1921</v>
      </c>
      <c r="D373" s="2" t="s">
        <v>2004</v>
      </c>
      <c r="E373" s="2" t="s">
        <v>2031</v>
      </c>
      <c r="F373" s="2"/>
      <c r="G373" s="6"/>
      <c r="H373" s="56">
        <f>VLOOKUP(C373,质量因子_broad!A:V,13,FALSE)</f>
        <v>3.5999999999999997E-2</v>
      </c>
      <c r="I373" s="56">
        <f>VLOOKUP(C373,质量因子_zz800!A:V,13,FALSE)</f>
        <v>3.4000000000000002E-2</v>
      </c>
      <c r="J373" s="2"/>
      <c r="K373" s="2"/>
      <c r="L373" s="2"/>
      <c r="M373" s="3"/>
      <c r="Q373" t="s">
        <v>2046</v>
      </c>
    </row>
    <row r="374" spans="1:17">
      <c r="A374" s="3" t="s">
        <v>1238</v>
      </c>
      <c r="B374" s="4" t="s">
        <v>1247</v>
      </c>
      <c r="C374" s="1" t="s">
        <v>1248</v>
      </c>
      <c r="D374" s="2" t="s">
        <v>1249</v>
      </c>
      <c r="E374" s="2" t="s">
        <v>2030</v>
      </c>
      <c r="F374" s="2"/>
      <c r="G374" s="2"/>
      <c r="H374" s="56">
        <f>VLOOKUP(C374,质量因子_broad!A:V,13,FALSE)</f>
        <v>1.2999999999999999E-2</v>
      </c>
      <c r="I374" s="56">
        <f>VLOOKUP(C374,质量因子_zz800!A:V,13,FALSE)</f>
        <v>1.2E-2</v>
      </c>
      <c r="J374" s="2"/>
      <c r="K374" s="2"/>
      <c r="L374" s="2"/>
      <c r="M374" s="3"/>
      <c r="N374" s="68" t="s">
        <v>2023</v>
      </c>
    </row>
    <row r="375" spans="1:17">
      <c r="A375" s="3" t="s">
        <v>1238</v>
      </c>
      <c r="B375" s="4" t="s">
        <v>1247</v>
      </c>
      <c r="C375" s="1" t="s">
        <v>1259</v>
      </c>
      <c r="D375" s="2" t="s">
        <v>2027</v>
      </c>
      <c r="E375" s="2" t="s">
        <v>2029</v>
      </c>
      <c r="F375" s="2"/>
      <c r="G375" s="6" t="s">
        <v>2042</v>
      </c>
      <c r="H375" s="56">
        <f>VLOOKUP(C375,质量因子_broad!A:V,13,FALSE)</f>
        <v>2.8000000000000001E-2</v>
      </c>
      <c r="I375" s="56">
        <f>VLOOKUP(C375,质量因子_zz800!A:V,13,FALSE)</f>
        <v>2.9000000000000001E-2</v>
      </c>
      <c r="J375" s="2"/>
      <c r="K375" s="2"/>
      <c r="L375" s="2"/>
      <c r="M375" s="3"/>
      <c r="N375" s="68" t="s">
        <v>2006</v>
      </c>
      <c r="O375" t="s">
        <v>2024</v>
      </c>
    </row>
    <row r="376" spans="1:17">
      <c r="A376" s="3" t="s">
        <v>1238</v>
      </c>
      <c r="B376" s="4" t="s">
        <v>1247</v>
      </c>
      <c r="C376" s="1" t="s">
        <v>1261</v>
      </c>
      <c r="D376" s="2" t="s">
        <v>2026</v>
      </c>
      <c r="E376" s="2" t="s">
        <v>490</v>
      </c>
      <c r="F376" s="2" t="s">
        <v>655</v>
      </c>
      <c r="G376" s="6" t="s">
        <v>2042</v>
      </c>
      <c r="H376" s="56">
        <f>VLOOKUP(C376,质量因子_broad!A:V,13,FALSE)</f>
        <v>4.2999999999999997E-2</v>
      </c>
      <c r="I376" s="56">
        <f>VLOOKUP(C376,质量因子_zz800!A:V,13,FALSE)</f>
        <v>4.2000000000000003E-2</v>
      </c>
      <c r="J376" s="2"/>
      <c r="K376" s="2"/>
      <c r="L376" s="2"/>
      <c r="M376" s="3"/>
      <c r="N376" s="68" t="s">
        <v>2006</v>
      </c>
      <c r="O376" t="s">
        <v>2025</v>
      </c>
    </row>
    <row r="377" spans="1:17" ht="28.5">
      <c r="A377" s="3" t="s">
        <v>1238</v>
      </c>
      <c r="B377" s="4" t="s">
        <v>1247</v>
      </c>
      <c r="C377" s="1" t="s">
        <v>1262</v>
      </c>
      <c r="D377" s="2" t="s">
        <v>1263</v>
      </c>
      <c r="E377" s="2" t="s">
        <v>2028</v>
      </c>
      <c r="F377" s="2"/>
      <c r="G377" s="6" t="s">
        <v>2042</v>
      </c>
      <c r="H377" s="56">
        <f>VLOOKUP(C377,质量因子_broad!A:V,13,FALSE)</f>
        <v>3.2000000000000001E-2</v>
      </c>
      <c r="I377" s="56">
        <f>VLOOKUP(C377,质量因子_zz800!A:V,13,FALSE)</f>
        <v>3.1E-2</v>
      </c>
      <c r="J377" s="2"/>
      <c r="K377" s="2"/>
      <c r="L377" s="2"/>
      <c r="M377" s="3"/>
      <c r="N377" s="68" t="s">
        <v>2005</v>
      </c>
      <c r="O377" t="s">
        <v>2024</v>
      </c>
    </row>
    <row r="378" spans="1:17" ht="28.5">
      <c r="A378" s="3" t="s">
        <v>1238</v>
      </c>
      <c r="B378" s="4" t="s">
        <v>1247</v>
      </c>
      <c r="C378" s="1" t="s">
        <v>1264</v>
      </c>
      <c r="D378" s="2" t="s">
        <v>1265</v>
      </c>
      <c r="E378" s="2" t="s">
        <v>496</v>
      </c>
      <c r="F378" s="2" t="s">
        <v>655</v>
      </c>
      <c r="G378" s="6" t="s">
        <v>2042</v>
      </c>
      <c r="H378" s="56">
        <f>VLOOKUP(C378,质量因子_broad!A:V,13,FALSE)</f>
        <v>4.9000000000000002E-2</v>
      </c>
      <c r="I378" s="56">
        <f>VLOOKUP(C378,质量因子_zz800!A:V,13,FALSE)</f>
        <v>4.5999999999999999E-2</v>
      </c>
      <c r="J378" s="2"/>
      <c r="K378" s="2"/>
      <c r="L378" s="2"/>
      <c r="M378" s="3"/>
      <c r="N378" s="68" t="s">
        <v>2005</v>
      </c>
      <c r="O378" t="s">
        <v>2038</v>
      </c>
    </row>
    <row r="379" spans="1:17">
      <c r="A379" s="3" t="s">
        <v>1238</v>
      </c>
      <c r="B379" s="4" t="s">
        <v>1247</v>
      </c>
      <c r="C379" s="1" t="s">
        <v>1266</v>
      </c>
      <c r="D379" s="2" t="s">
        <v>1267</v>
      </c>
      <c r="E379" s="2" t="s">
        <v>2033</v>
      </c>
      <c r="F379" s="2"/>
      <c r="G379" s="6" t="s">
        <v>2043</v>
      </c>
      <c r="H379" s="56">
        <f>VLOOKUP(C379,质量因子_broad!A:V,13,FALSE)</f>
        <v>3.4000000000000002E-2</v>
      </c>
      <c r="I379" s="56">
        <f>VLOOKUP(C379,质量因子_zz800!A:V,13,FALSE)</f>
        <v>3.3000000000000002E-2</v>
      </c>
      <c r="J379" s="2"/>
      <c r="K379" s="2"/>
      <c r="L379" s="2"/>
      <c r="M379" s="3"/>
      <c r="N379" s="68" t="s">
        <v>2039</v>
      </c>
    </row>
    <row r="380" spans="1:17" ht="28.5">
      <c r="A380" s="3" t="s">
        <v>1238</v>
      </c>
      <c r="B380" s="4" t="s">
        <v>1247</v>
      </c>
      <c r="C380" s="1" t="s">
        <v>1272</v>
      </c>
      <c r="D380" s="2" t="s">
        <v>2040</v>
      </c>
      <c r="E380" s="2" t="s">
        <v>505</v>
      </c>
      <c r="F380" s="2" t="s">
        <v>655</v>
      </c>
      <c r="G380" s="6" t="s">
        <v>2045</v>
      </c>
      <c r="H380" s="56">
        <f>VLOOKUP(C380,质量因子_broad!A:V,13,FALSE)</f>
        <v>0.02</v>
      </c>
      <c r="I380" s="56">
        <f>VLOOKUP(C380,质量因子_zz800!A:V,13,FALSE)</f>
        <v>1.7999999999999999E-2</v>
      </c>
      <c r="J380" s="2"/>
      <c r="K380" s="2"/>
      <c r="L380" s="2"/>
      <c r="M380" s="3"/>
    </row>
    <row r="381" spans="1:17">
      <c r="A381" s="3" t="s">
        <v>1169</v>
      </c>
      <c r="B381" s="4" t="s">
        <v>1170</v>
      </c>
      <c r="C381" s="1" t="s">
        <v>1171</v>
      </c>
      <c r="D381" s="2" t="s">
        <v>1172</v>
      </c>
      <c r="E381" s="2" t="s">
        <v>700</v>
      </c>
      <c r="F381" s="2" t="s">
        <v>655</v>
      </c>
      <c r="G381" s="6" t="s">
        <v>2042</v>
      </c>
      <c r="H381" s="56">
        <f>VLOOKUP(C381,质量因子_broad!A:V,13,FALSE)</f>
        <v>4.1000000000000002E-2</v>
      </c>
      <c r="I381" s="56">
        <f>VLOOKUP(C381,质量因子_zz800!A:V,13,FALSE)</f>
        <v>2.5000000000000001E-2</v>
      </c>
      <c r="J381" s="2"/>
      <c r="K381" s="2" t="s">
        <v>1173</v>
      </c>
      <c r="L381" s="2" t="s">
        <v>1174</v>
      </c>
      <c r="M381" s="3"/>
    </row>
    <row r="382" spans="1:17">
      <c r="A382" s="3" t="s">
        <v>1169</v>
      </c>
      <c r="B382" s="4" t="s">
        <v>1170</v>
      </c>
      <c r="C382" s="1" t="s">
        <v>1181</v>
      </c>
      <c r="D382" s="2" t="s">
        <v>1182</v>
      </c>
      <c r="E382" s="2" t="s">
        <v>2034</v>
      </c>
      <c r="F382" s="2"/>
      <c r="G382" s="2"/>
      <c r="H382" s="56">
        <f>VLOOKUP(C382,质量因子_broad!A:V,13,FALSE)</f>
        <v>-5.0000000000000001E-3</v>
      </c>
      <c r="I382" s="56">
        <f>VLOOKUP(C382,质量因子_zz800!A:V,13,FALSE)</f>
        <v>-6.0000000000000001E-3</v>
      </c>
      <c r="J382" s="2"/>
      <c r="K382" s="2"/>
      <c r="L382" s="2"/>
      <c r="M382" s="3"/>
      <c r="N382" s="68" t="s">
        <v>2041</v>
      </c>
      <c r="O382" t="s">
        <v>1983</v>
      </c>
    </row>
    <row r="383" spans="1:17" ht="28.5">
      <c r="A383" s="3" t="s">
        <v>1169</v>
      </c>
      <c r="B383" s="4" t="s">
        <v>1170</v>
      </c>
      <c r="C383" s="1" t="s">
        <v>1207</v>
      </c>
      <c r="D383" s="2" t="s">
        <v>2271</v>
      </c>
      <c r="E383" s="2" t="s">
        <v>700</v>
      </c>
      <c r="F383" s="2" t="s">
        <v>655</v>
      </c>
      <c r="G383" s="6" t="s">
        <v>2042</v>
      </c>
      <c r="H383" s="56">
        <f>VLOOKUP(C383,质量因子_broad!A:V,13,FALSE)</f>
        <v>1.4E-2</v>
      </c>
      <c r="I383" s="56">
        <f>VLOOKUP(C383,质量因子_zz800!A:V,13,FALSE)</f>
        <v>1.0999999999999999E-2</v>
      </c>
      <c r="J383" s="2"/>
      <c r="K383" s="2" t="s">
        <v>1173</v>
      </c>
      <c r="L383" s="2" t="s">
        <v>1174</v>
      </c>
      <c r="M383" s="3"/>
      <c r="N383" s="68" t="s">
        <v>2270</v>
      </c>
    </row>
    <row r="384" spans="1:17">
      <c r="A384" s="3" t="s">
        <v>15</v>
      </c>
      <c r="B384" s="4" t="s">
        <v>399</v>
      </c>
      <c r="C384" s="1" t="s">
        <v>2266</v>
      </c>
      <c r="D384" s="2" t="s">
        <v>2269</v>
      </c>
      <c r="E384" s="2" t="s">
        <v>2035</v>
      </c>
      <c r="F384" s="2"/>
      <c r="G384" s="2"/>
      <c r="H384" s="56" t="e">
        <f>VLOOKUP(C384,质量因子_broad!A:V,13,FALSE)</f>
        <v>#N/A</v>
      </c>
      <c r="I384" s="56" t="e">
        <f>VLOOKUP(C384,质量因子_zz800!A:V,13,FALSE)</f>
        <v>#N/A</v>
      </c>
      <c r="J384" s="2"/>
      <c r="K384" s="2"/>
      <c r="L384" s="2"/>
      <c r="M384" s="3"/>
      <c r="N384" s="68" t="s">
        <v>2268</v>
      </c>
    </row>
    <row r="385" spans="1:15">
      <c r="A385" s="3" t="s">
        <v>1169</v>
      </c>
      <c r="B385" s="4" t="s">
        <v>1170</v>
      </c>
      <c r="C385" s="1" t="s">
        <v>1208</v>
      </c>
      <c r="D385" s="2" t="s">
        <v>2267</v>
      </c>
      <c r="E385" s="2" t="s">
        <v>2035</v>
      </c>
      <c r="F385" s="2"/>
      <c r="G385" s="2"/>
      <c r="H385" s="56">
        <f>VLOOKUP(C385,质量因子_broad!A:V,13,FALSE)</f>
        <v>-7.0000000000000001E-3</v>
      </c>
      <c r="I385" s="56">
        <f>VLOOKUP(C385,质量因子_zz800!A:V,13,FALSE)</f>
        <v>-6.0000000000000001E-3</v>
      </c>
      <c r="J385" s="2"/>
      <c r="K385" s="2"/>
      <c r="L385" s="2"/>
      <c r="M385" s="3"/>
      <c r="N385" s="68" t="s">
        <v>2268</v>
      </c>
    </row>
    <row r="386" spans="1:15">
      <c r="A386" s="3" t="s">
        <v>1169</v>
      </c>
      <c r="B386" s="4" t="s">
        <v>1170</v>
      </c>
      <c r="C386" s="1" t="s">
        <v>1226</v>
      </c>
      <c r="D386" s="2" t="s">
        <v>1227</v>
      </c>
      <c r="E386" s="2" t="s">
        <v>660</v>
      </c>
      <c r="F386" s="2" t="s">
        <v>655</v>
      </c>
      <c r="G386" s="6" t="s">
        <v>2042</v>
      </c>
      <c r="H386" s="56">
        <f>VLOOKUP(C386,质量因子_broad!A:V,13,FALSE)</f>
        <v>0.01</v>
      </c>
      <c r="I386" s="56">
        <f>VLOOKUP(C386,质量因子_zz800!A:V,13,FALSE)</f>
        <v>1.4999999999999999E-2</v>
      </c>
      <c r="J386" s="2"/>
      <c r="K386" s="2" t="s">
        <v>1173</v>
      </c>
      <c r="L386" s="2" t="s">
        <v>1174</v>
      </c>
      <c r="M386" s="3"/>
    </row>
    <row r="387" spans="1:15">
      <c r="A387" s="3" t="s">
        <v>1169</v>
      </c>
      <c r="B387" s="4" t="s">
        <v>1170</v>
      </c>
      <c r="C387" s="1" t="s">
        <v>1234</v>
      </c>
      <c r="D387" s="2" t="s">
        <v>1235</v>
      </c>
      <c r="E387" s="2" t="s">
        <v>700</v>
      </c>
      <c r="F387" s="2" t="s">
        <v>655</v>
      </c>
      <c r="G387" s="6" t="s">
        <v>2042</v>
      </c>
      <c r="H387" s="56">
        <f>VLOOKUP(C387,质量因子_broad!A:V,13,FALSE)</f>
        <v>2.8000000000000001E-2</v>
      </c>
      <c r="I387" s="56">
        <f>VLOOKUP(C387,质量因子_zz800!A:V,13,FALSE)</f>
        <v>3.1E-2</v>
      </c>
      <c r="J387" s="2"/>
      <c r="K387" s="2" t="s">
        <v>1236</v>
      </c>
      <c r="L387" s="2" t="s">
        <v>1237</v>
      </c>
      <c r="M387" s="3"/>
    </row>
    <row r="388" spans="1:15">
      <c r="A388" s="3" t="s">
        <v>1238</v>
      </c>
      <c r="B388" s="4" t="s">
        <v>1273</v>
      </c>
      <c r="C388" s="1" t="s">
        <v>1274</v>
      </c>
      <c r="D388" s="2" t="s">
        <v>1275</v>
      </c>
      <c r="E388" s="2" t="s">
        <v>2036</v>
      </c>
      <c r="F388" s="2"/>
      <c r="G388" s="2"/>
      <c r="H388" s="56">
        <f>VLOOKUP(C388,质量因子_broad!A:V,13,FALSE)</f>
        <v>6.0000000000000001E-3</v>
      </c>
      <c r="I388" s="56">
        <f>VLOOKUP(C388,质量因子_zz800!A:V,13,FALSE)</f>
        <v>2E-3</v>
      </c>
      <c r="J388" s="2"/>
      <c r="K388" s="2"/>
      <c r="L388" s="2"/>
      <c r="M388" s="3"/>
    </row>
    <row r="389" spans="1:15">
      <c r="A389" s="3" t="s">
        <v>15</v>
      </c>
      <c r="B389" s="4" t="s">
        <v>399</v>
      </c>
      <c r="C389" s="1" t="s">
        <v>1990</v>
      </c>
      <c r="D389" s="2" t="s">
        <v>514</v>
      </c>
      <c r="E389" s="2" t="s">
        <v>2037</v>
      </c>
      <c r="F389" s="2"/>
      <c r="G389" s="2"/>
      <c r="H389" s="56">
        <f>VLOOKUP(C389,质量因子_broad!A:V,13,FALSE)</f>
        <v>-1.9E-2</v>
      </c>
      <c r="I389" s="56">
        <f>VLOOKUP(C389,质量因子_zz800!A:V,13,FALSE)</f>
        <v>-5.0000000000000001E-3</v>
      </c>
      <c r="J389" s="2"/>
      <c r="K389" s="2" t="s">
        <v>7</v>
      </c>
      <c r="L389" s="2" t="s">
        <v>6</v>
      </c>
      <c r="M389" s="3"/>
    </row>
    <row r="390" spans="1:15">
      <c r="A390" s="3" t="s">
        <v>106</v>
      </c>
      <c r="B390" s="4" t="s">
        <v>2262</v>
      </c>
      <c r="C390" s="1" t="s">
        <v>2263</v>
      </c>
      <c r="D390" s="6" t="s">
        <v>2264</v>
      </c>
      <c r="E390" s="2"/>
      <c r="F390" s="2"/>
      <c r="G390" s="2"/>
      <c r="H390" s="2"/>
      <c r="I390" s="2"/>
    </row>
    <row r="391" spans="1:15">
      <c r="A391" s="3" t="s">
        <v>106</v>
      </c>
      <c r="B391" s="4" t="s">
        <v>2262</v>
      </c>
      <c r="C391" s="1" t="s">
        <v>2265</v>
      </c>
      <c r="D391" s="6" t="s">
        <v>2264</v>
      </c>
      <c r="E391" s="2"/>
      <c r="F391" s="2"/>
      <c r="G391" s="2"/>
      <c r="H391" s="2"/>
      <c r="I391" s="2"/>
    </row>
    <row r="392" spans="1:15">
      <c r="A392" s="40" t="s">
        <v>1468</v>
      </c>
      <c r="B392" s="49" t="s">
        <v>230</v>
      </c>
      <c r="C392" s="41" t="s">
        <v>2285</v>
      </c>
      <c r="D392" s="42" t="s">
        <v>2286</v>
      </c>
      <c r="E392" s="40" t="s">
        <v>2285</v>
      </c>
      <c r="F392" s="42"/>
      <c r="G392" s="51"/>
      <c r="H392" s="61"/>
      <c r="I392" s="60"/>
      <c r="J392" s="4"/>
      <c r="K392" s="41"/>
      <c r="N392" s="49"/>
      <c r="O392" s="41"/>
    </row>
    <row r="393" spans="1:15">
      <c r="D393" s="37"/>
      <c r="E393" s="17"/>
      <c r="F393" s="17"/>
    </row>
    <row r="394" spans="1:15">
      <c r="D394" s="37"/>
      <c r="E394" s="17"/>
      <c r="F394" s="17"/>
    </row>
    <row r="395" spans="1:15">
      <c r="D395" s="37"/>
      <c r="E395" s="17"/>
      <c r="F395" s="17"/>
    </row>
    <row r="396" spans="1:15">
      <c r="D396" s="37"/>
      <c r="E396" s="17"/>
      <c r="F396" s="17"/>
    </row>
    <row r="397" spans="1:15">
      <c r="D397" s="37"/>
      <c r="E397" s="17"/>
      <c r="F397" s="17"/>
    </row>
    <row r="398" spans="1:15">
      <c r="D398" s="37"/>
      <c r="E398" s="17"/>
      <c r="F398" s="17"/>
    </row>
    <row r="399" spans="1:15">
      <c r="D399" s="37"/>
      <c r="E399" s="17"/>
      <c r="F399" s="17"/>
    </row>
    <row r="400" spans="1:15">
      <c r="D400" s="37"/>
      <c r="E400" s="17"/>
      <c r="F400" s="17"/>
    </row>
    <row r="401" spans="4:6">
      <c r="D401" s="37"/>
      <c r="E401" s="17"/>
      <c r="F401" s="17"/>
    </row>
    <row r="402" spans="4:6">
      <c r="D402" s="37"/>
      <c r="E402" s="17"/>
      <c r="F402" s="17"/>
    </row>
    <row r="403" spans="4:6">
      <c r="D403" s="37"/>
      <c r="E403" s="17"/>
      <c r="F403" s="17"/>
    </row>
    <row r="404" spans="4:6">
      <c r="D404" s="37"/>
      <c r="E404" s="17"/>
      <c r="F404" s="17"/>
    </row>
    <row r="405" spans="4:6">
      <c r="D405" s="37"/>
      <c r="E405" s="17"/>
      <c r="F405" s="17"/>
    </row>
    <row r="406" spans="4:6">
      <c r="D406" s="37"/>
      <c r="E406" s="17"/>
      <c r="F406" s="17"/>
    </row>
    <row r="407" spans="4:6">
      <c r="D407" s="37"/>
      <c r="E407" s="17"/>
      <c r="F407" s="17"/>
    </row>
    <row r="408" spans="4:6">
      <c r="D408" s="37"/>
      <c r="E408" s="17"/>
      <c r="F408" s="17"/>
    </row>
    <row r="409" spans="4:6">
      <c r="D409" s="37"/>
      <c r="E409" s="17"/>
      <c r="F409" s="17"/>
    </row>
    <row r="410" spans="4:6">
      <c r="D410" s="37"/>
      <c r="E410" s="17"/>
      <c r="F410" s="17"/>
    </row>
    <row r="411" spans="4:6">
      <c r="D411" s="37"/>
      <c r="E411" s="17"/>
      <c r="F411" s="17"/>
    </row>
    <row r="412" spans="4:6">
      <c r="D412" s="37"/>
      <c r="E412" s="17"/>
      <c r="F412" s="17"/>
    </row>
    <row r="413" spans="4:6">
      <c r="D413" s="37"/>
      <c r="E413" s="17"/>
      <c r="F413" s="17"/>
    </row>
    <row r="414" spans="4:6">
      <c r="D414" s="37"/>
      <c r="E414" s="17"/>
      <c r="F414" s="17"/>
    </row>
    <row r="415" spans="4:6">
      <c r="D415" s="37"/>
      <c r="E415" s="17"/>
      <c r="F415" s="17"/>
    </row>
    <row r="416" spans="4:6">
      <c r="D416" s="37"/>
      <c r="E416" s="17"/>
      <c r="F416" s="17"/>
    </row>
    <row r="417" spans="4:6">
      <c r="D417" s="37"/>
      <c r="E417" s="17"/>
      <c r="F417" s="17"/>
    </row>
    <row r="418" spans="4:6">
      <c r="D418" s="37"/>
      <c r="E418" s="17"/>
      <c r="F418" s="17"/>
    </row>
    <row r="419" spans="4:6">
      <c r="D419" s="37"/>
      <c r="E419" s="17"/>
      <c r="F419" s="17"/>
    </row>
    <row r="420" spans="4:6">
      <c r="D420" s="37"/>
      <c r="E420" s="17"/>
      <c r="F420" s="17"/>
    </row>
    <row r="421" spans="4:6">
      <c r="D421" s="37"/>
      <c r="E421" s="17"/>
      <c r="F421" s="17"/>
    </row>
    <row r="422" spans="4:6">
      <c r="D422" s="37"/>
      <c r="E422" s="17"/>
      <c r="F422" s="17"/>
    </row>
    <row r="423" spans="4:6">
      <c r="D423" s="37"/>
      <c r="E423" s="17"/>
      <c r="F423" s="17"/>
    </row>
    <row r="424" spans="4:6">
      <c r="D424" s="37"/>
      <c r="E424" s="17"/>
      <c r="F424" s="17"/>
    </row>
    <row r="425" spans="4:6">
      <c r="D425" s="37"/>
      <c r="E425" s="17"/>
      <c r="F425" s="17"/>
    </row>
    <row r="426" spans="4:6">
      <c r="D426" s="37"/>
      <c r="E426" s="17"/>
      <c r="F426" s="17"/>
    </row>
    <row r="427" spans="4:6">
      <c r="D427" s="37"/>
      <c r="E427" s="17"/>
      <c r="F427" s="17"/>
    </row>
    <row r="428" spans="4:6">
      <c r="D428" s="37"/>
      <c r="E428" s="17"/>
      <c r="F428" s="17"/>
    </row>
    <row r="429" spans="4:6">
      <c r="D429" s="37"/>
      <c r="E429" s="17"/>
      <c r="F429" s="17"/>
    </row>
    <row r="430" spans="4:6">
      <c r="D430" s="37"/>
      <c r="E430" s="17"/>
      <c r="F430" s="17"/>
    </row>
    <row r="431" spans="4:6">
      <c r="D431" s="37"/>
      <c r="E431" s="17"/>
      <c r="F431" s="17"/>
    </row>
    <row r="432" spans="4:6">
      <c r="D432" s="37"/>
      <c r="E432" s="17"/>
      <c r="F432" s="17"/>
    </row>
    <row r="433" spans="4:6">
      <c r="D433" s="37"/>
      <c r="E433" s="17"/>
      <c r="F433" s="17"/>
    </row>
    <row r="434" spans="4:6">
      <c r="D434" s="37"/>
      <c r="E434" s="17"/>
      <c r="F434" s="17"/>
    </row>
    <row r="435" spans="4:6">
      <c r="D435" s="37"/>
      <c r="E435" s="17"/>
      <c r="F435" s="17"/>
    </row>
    <row r="436" spans="4:6">
      <c r="D436" s="37"/>
      <c r="E436" s="17"/>
      <c r="F436" s="17"/>
    </row>
    <row r="437" spans="4:6">
      <c r="D437" s="37"/>
      <c r="E437" s="17"/>
      <c r="F437" s="17"/>
    </row>
    <row r="438" spans="4:6">
      <c r="D438" s="37"/>
      <c r="E438" s="17"/>
      <c r="F438" s="17"/>
    </row>
    <row r="439" spans="4:6">
      <c r="D439" s="37"/>
      <c r="E439" s="17"/>
      <c r="F439" s="17"/>
    </row>
    <row r="440" spans="4:6">
      <c r="D440" s="37"/>
      <c r="E440" s="17"/>
      <c r="F440" s="17"/>
    </row>
    <row r="441" spans="4:6">
      <c r="D441" s="37"/>
      <c r="E441" s="17"/>
      <c r="F441" s="17"/>
    </row>
    <row r="442" spans="4:6">
      <c r="D442" s="37"/>
      <c r="E442" s="17"/>
      <c r="F442" s="17"/>
    </row>
    <row r="443" spans="4:6">
      <c r="D443" s="37"/>
      <c r="E443" s="17"/>
      <c r="F443" s="17"/>
    </row>
    <row r="444" spans="4:6">
      <c r="D444" s="37"/>
      <c r="E444" s="17"/>
      <c r="F444" s="17"/>
    </row>
    <row r="445" spans="4:6">
      <c r="D445" s="37"/>
      <c r="E445" s="17"/>
      <c r="F445" s="17"/>
    </row>
    <row r="446" spans="4:6">
      <c r="D446" s="37"/>
      <c r="E446" s="17"/>
      <c r="F446" s="17"/>
    </row>
    <row r="447" spans="4:6">
      <c r="D447" s="37"/>
      <c r="E447" s="17"/>
      <c r="F447" s="17"/>
    </row>
    <row r="448" spans="4:6">
      <c r="D448" s="37"/>
      <c r="E448" s="17"/>
      <c r="F448" s="17"/>
    </row>
    <row r="449" spans="4:6">
      <c r="D449" s="37"/>
      <c r="E449" s="17"/>
      <c r="F449" s="17"/>
    </row>
    <row r="450" spans="4:6">
      <c r="D450" s="37"/>
      <c r="E450" s="17"/>
      <c r="F450" s="17"/>
    </row>
    <row r="451" spans="4:6">
      <c r="D451" s="37"/>
      <c r="E451" s="17"/>
      <c r="F451" s="17"/>
    </row>
    <row r="452" spans="4:6">
      <c r="D452" s="37"/>
      <c r="E452" s="17"/>
      <c r="F452" s="17"/>
    </row>
    <row r="453" spans="4:6">
      <c r="D453" s="37"/>
      <c r="E453" s="17"/>
      <c r="F453" s="17"/>
    </row>
    <row r="454" spans="4:6">
      <c r="D454" s="37"/>
      <c r="E454" s="17"/>
      <c r="F454" s="17"/>
    </row>
    <row r="455" spans="4:6">
      <c r="D455" s="37"/>
      <c r="E455" s="17"/>
      <c r="F455" s="17"/>
    </row>
    <row r="456" spans="4:6">
      <c r="D456" s="37"/>
      <c r="E456" s="17"/>
      <c r="F456" s="17"/>
    </row>
    <row r="457" spans="4:6">
      <c r="D457" s="37"/>
      <c r="E457" s="17"/>
      <c r="F457" s="17"/>
    </row>
    <row r="458" spans="4:6">
      <c r="D458" s="37"/>
      <c r="E458" s="17"/>
      <c r="F458" s="17"/>
    </row>
    <row r="459" spans="4:6">
      <c r="D459" s="37"/>
      <c r="E459" s="17"/>
      <c r="F459" s="17"/>
    </row>
    <row r="460" spans="4:6">
      <c r="D460" s="37"/>
      <c r="E460" s="17"/>
      <c r="F460" s="17"/>
    </row>
    <row r="461" spans="4:6">
      <c r="D461" s="37"/>
      <c r="E461" s="17"/>
      <c r="F461" s="17"/>
    </row>
    <row r="462" spans="4:6">
      <c r="D462" s="37"/>
      <c r="E462" s="17"/>
      <c r="F462" s="17"/>
    </row>
    <row r="463" spans="4:6">
      <c r="D463" s="37"/>
      <c r="E463" s="17"/>
      <c r="F463" s="17"/>
    </row>
    <row r="464" spans="4:6">
      <c r="D464" s="37"/>
      <c r="E464" s="17"/>
      <c r="F464" s="17"/>
    </row>
    <row r="465" spans="4:6">
      <c r="D465" s="37"/>
      <c r="E465" s="17"/>
      <c r="F465" s="17"/>
    </row>
    <row r="466" spans="4:6">
      <c r="D466" s="37"/>
      <c r="E466" s="17"/>
      <c r="F466" s="17"/>
    </row>
    <row r="467" spans="4:6">
      <c r="D467" s="37"/>
      <c r="E467" s="17"/>
      <c r="F467" s="17"/>
    </row>
    <row r="468" spans="4:6">
      <c r="D468" s="37"/>
      <c r="E468" s="17"/>
      <c r="F468" s="17"/>
    </row>
    <row r="469" spans="4:6">
      <c r="D469" s="37"/>
      <c r="E469" s="17"/>
      <c r="F469" s="17"/>
    </row>
    <row r="470" spans="4:6">
      <c r="D470" s="37"/>
      <c r="E470" s="17"/>
      <c r="F470" s="17"/>
    </row>
    <row r="471" spans="4:6">
      <c r="E471" s="17"/>
      <c r="F471" s="17"/>
    </row>
    <row r="472" spans="4:6">
      <c r="E472" s="17"/>
      <c r="F472" s="17"/>
    </row>
    <row r="473" spans="4:6">
      <c r="E473" s="17"/>
      <c r="F473" s="17"/>
    </row>
    <row r="474" spans="4:6">
      <c r="E474" s="17"/>
      <c r="F474" s="17"/>
    </row>
    <row r="475" spans="4:6">
      <c r="E475" s="17"/>
      <c r="F475" s="17"/>
    </row>
    <row r="476" spans="4:6">
      <c r="E476" s="17"/>
      <c r="F476" s="17"/>
    </row>
    <row r="477" spans="4:6">
      <c r="E477" s="17"/>
      <c r="F477" s="17"/>
    </row>
    <row r="478" spans="4:6">
      <c r="E478" s="17"/>
      <c r="F478" s="17"/>
    </row>
    <row r="479" spans="4:6">
      <c r="E479" s="17"/>
      <c r="F479" s="17"/>
    </row>
    <row r="480" spans="4:6">
      <c r="E480" s="17"/>
      <c r="F480" s="17"/>
    </row>
    <row r="481" spans="5:6">
      <c r="E481" s="17"/>
      <c r="F481" s="17"/>
    </row>
    <row r="482" spans="5:6">
      <c r="E482" s="17"/>
      <c r="F482" s="17"/>
    </row>
    <row r="483" spans="5:6">
      <c r="E483" s="17"/>
      <c r="F483" s="17"/>
    </row>
    <row r="484" spans="5:6">
      <c r="E484" s="17"/>
      <c r="F484" s="17"/>
    </row>
    <row r="485" spans="5:6">
      <c r="E485" s="17"/>
      <c r="F485" s="17"/>
    </row>
    <row r="486" spans="5:6">
      <c r="E486" s="17"/>
      <c r="F486" s="17"/>
    </row>
    <row r="487" spans="5:6">
      <c r="E487" s="17"/>
      <c r="F487" s="17"/>
    </row>
    <row r="488" spans="5:6">
      <c r="E488" s="17"/>
      <c r="F488" s="17"/>
    </row>
    <row r="489" spans="5:6">
      <c r="E489" s="17"/>
      <c r="F489" s="17"/>
    </row>
    <row r="490" spans="5:6">
      <c r="E490" s="17"/>
      <c r="F490" s="17"/>
    </row>
    <row r="491" spans="5:6">
      <c r="E491" s="17"/>
      <c r="F491" s="17"/>
    </row>
    <row r="492" spans="5:6">
      <c r="E492" s="17"/>
      <c r="F492" s="17"/>
    </row>
    <row r="493" spans="5:6">
      <c r="E493" s="17"/>
      <c r="F493" s="17"/>
    </row>
    <row r="494" spans="5:6">
      <c r="E494" s="17"/>
      <c r="F494" s="17"/>
    </row>
    <row r="495" spans="5:6">
      <c r="E495" s="17"/>
      <c r="F495" s="17"/>
    </row>
    <row r="496" spans="5:6">
      <c r="E496" s="17"/>
      <c r="F496" s="17"/>
    </row>
    <row r="497" spans="5:6">
      <c r="E497" s="17"/>
      <c r="F497" s="17"/>
    </row>
    <row r="498" spans="5:6">
      <c r="E498" s="17"/>
      <c r="F498" s="17"/>
    </row>
    <row r="499" spans="5:6">
      <c r="E499" s="17"/>
      <c r="F499" s="17"/>
    </row>
    <row r="500" spans="5:6">
      <c r="E500" s="17"/>
      <c r="F500" s="17"/>
    </row>
    <row r="501" spans="5:6">
      <c r="E501" s="17"/>
      <c r="F501" s="17"/>
    </row>
    <row r="502" spans="5:6">
      <c r="E502" s="17"/>
      <c r="F502" s="17"/>
    </row>
    <row r="503" spans="5:6">
      <c r="E503" s="17"/>
      <c r="F503" s="17"/>
    </row>
    <row r="504" spans="5:6">
      <c r="E504" s="17"/>
      <c r="F504" s="17"/>
    </row>
    <row r="505" spans="5:6">
      <c r="E505" s="17"/>
      <c r="F505" s="17"/>
    </row>
    <row r="506" spans="5:6">
      <c r="E506" s="17"/>
      <c r="F506" s="17"/>
    </row>
    <row r="507" spans="5:6">
      <c r="E507" s="17"/>
      <c r="F507" s="17"/>
    </row>
    <row r="508" spans="5:6">
      <c r="E508" s="17"/>
      <c r="F508" s="17"/>
    </row>
    <row r="509" spans="5:6">
      <c r="E509" s="17"/>
      <c r="F509" s="17"/>
    </row>
    <row r="510" spans="5:6">
      <c r="E510" s="17"/>
      <c r="F510" s="17"/>
    </row>
    <row r="511" spans="5:6">
      <c r="E511" s="17"/>
      <c r="F511" s="17"/>
    </row>
    <row r="512" spans="5:6">
      <c r="E512" s="17"/>
      <c r="F512" s="17"/>
    </row>
    <row r="513" spans="5:6">
      <c r="E513" s="17"/>
      <c r="F513" s="17"/>
    </row>
    <row r="514" spans="5:6">
      <c r="E514" s="17"/>
      <c r="F514" s="17"/>
    </row>
    <row r="515" spans="5:6">
      <c r="E515" s="17"/>
      <c r="F515" s="17"/>
    </row>
    <row r="516" spans="5:6">
      <c r="E516" s="17"/>
      <c r="F516" s="17"/>
    </row>
    <row r="517" spans="5:6">
      <c r="E517" s="17"/>
      <c r="F517" s="17"/>
    </row>
    <row r="518" spans="5:6">
      <c r="E518" s="17"/>
      <c r="F518" s="17"/>
    </row>
  </sheetData>
  <autoFilter ref="A1:P392">
    <sortState ref="A324:P386">
      <sortCondition descending="1" ref="A2:A386"/>
      <sortCondition ref="B2:B386"/>
      <sortCondition ref="C2:C386"/>
    </sortState>
  </autoFilter>
  <sortState ref="A2:Q80">
    <sortCondition descending="1" ref="I2"/>
  </sortState>
  <phoneticPr fontId="9" type="noConversion"/>
  <conditionalFormatting sqref="C44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393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5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7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8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399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00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02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01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03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05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06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04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07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08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10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0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1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1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1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1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D23" sqref="A1:W37"/>
    </sheetView>
  </sheetViews>
  <sheetFormatPr defaultRowHeight="14.25"/>
  <cols>
    <col min="2" max="2" width="14.125" bestFit="1" customWidth="1"/>
    <col min="14" max="14" width="9" style="35"/>
    <col min="15" max="15" width="8.125" style="74" customWidth="1"/>
    <col min="16" max="17" width="9" style="35"/>
    <col min="19" max="19" width="9" style="35"/>
  </cols>
  <sheetData>
    <row r="1" spans="1:23" s="9" customFormat="1">
      <c r="A1" s="17" t="s">
        <v>1013</v>
      </c>
      <c r="B1" s="17" t="s">
        <v>730</v>
      </c>
      <c r="C1" s="17" t="s">
        <v>999</v>
      </c>
      <c r="D1" s="17" t="s">
        <v>1000</v>
      </c>
      <c r="E1" s="17" t="s">
        <v>1001</v>
      </c>
      <c r="F1" s="17" t="s">
        <v>1002</v>
      </c>
      <c r="G1" s="17" t="s">
        <v>1003</v>
      </c>
      <c r="H1" s="17" t="s">
        <v>1004</v>
      </c>
      <c r="I1" s="17" t="s">
        <v>1005</v>
      </c>
      <c r="J1" s="17" t="s">
        <v>1006</v>
      </c>
      <c r="K1" s="17" t="s">
        <v>1007</v>
      </c>
      <c r="L1" s="17" t="s">
        <v>1008</v>
      </c>
      <c r="M1" s="17" t="s">
        <v>1009</v>
      </c>
      <c r="N1" s="38" t="s">
        <v>969</v>
      </c>
      <c r="O1" s="73" t="s">
        <v>970</v>
      </c>
      <c r="P1" s="38" t="s">
        <v>971</v>
      </c>
      <c r="Q1" s="17" t="s">
        <v>972</v>
      </c>
      <c r="R1" s="17" t="s">
        <v>973</v>
      </c>
      <c r="S1" s="17" t="s">
        <v>974</v>
      </c>
      <c r="T1" s="17" t="s">
        <v>975</v>
      </c>
      <c r="U1" s="17" t="s">
        <v>1010</v>
      </c>
      <c r="V1" s="17" t="s">
        <v>1011</v>
      </c>
      <c r="W1" s="17" t="s">
        <v>1012</v>
      </c>
    </row>
    <row r="2" spans="1:23">
      <c r="A2" s="17" t="s">
        <v>1014</v>
      </c>
      <c r="B2" s="17" t="s">
        <v>966</v>
      </c>
      <c r="C2" s="17">
        <v>3.6299999999999999E-2</v>
      </c>
      <c r="D2" s="17">
        <v>7.1599999999999997E-2</v>
      </c>
      <c r="E2" s="17">
        <v>4.82E-2</v>
      </c>
      <c r="F2" s="17">
        <v>3.8199999999999998E-2</v>
      </c>
      <c r="G2" s="17">
        <v>4.6600000000000003E-2</v>
      </c>
      <c r="H2" s="17">
        <v>-1.4E-2</v>
      </c>
      <c r="I2" s="17">
        <v>3.4299999999999997E-2</v>
      </c>
      <c r="J2" s="17">
        <v>1.38E-2</v>
      </c>
      <c r="K2" s="17">
        <v>4.5199999999999997E-2</v>
      </c>
      <c r="L2" s="17">
        <v>3.6400000000000002E-2</v>
      </c>
      <c r="M2" s="17">
        <v>3.7600000000000001E-2</v>
      </c>
      <c r="N2" s="38">
        <v>3.5999999999999997E-2</v>
      </c>
      <c r="O2" s="73">
        <v>1.83</v>
      </c>
      <c r="P2" s="38">
        <v>2E-3</v>
      </c>
      <c r="Q2" s="17">
        <v>1.1399999999999999</v>
      </c>
      <c r="R2" s="17">
        <v>1.21</v>
      </c>
      <c r="S2" s="17">
        <v>0.999</v>
      </c>
      <c r="T2" s="17">
        <v>0.5</v>
      </c>
      <c r="U2" s="17">
        <v>20081231</v>
      </c>
      <c r="V2" s="17">
        <v>20190731</v>
      </c>
      <c r="W2" s="17">
        <v>128</v>
      </c>
    </row>
    <row r="3" spans="1:23">
      <c r="A3" s="17" t="s">
        <v>1014</v>
      </c>
      <c r="B3" s="17" t="s">
        <v>967</v>
      </c>
      <c r="C3" s="17">
        <v>3.3300000000000003E-2</v>
      </c>
      <c r="D3" s="17">
        <v>7.4200000000000002E-2</v>
      </c>
      <c r="E3" s="17">
        <v>4.6699999999999998E-2</v>
      </c>
      <c r="F3" s="17">
        <v>4.7500000000000001E-2</v>
      </c>
      <c r="G3" s="17">
        <v>5.6500000000000002E-2</v>
      </c>
      <c r="H3" s="17">
        <v>-1.01E-2</v>
      </c>
      <c r="I3" s="17">
        <v>4.7E-2</v>
      </c>
      <c r="J3" s="17">
        <v>1.8599999999999998E-2</v>
      </c>
      <c r="K3" s="17">
        <v>6.8500000000000005E-2</v>
      </c>
      <c r="L3" s="17">
        <v>4.6100000000000002E-2</v>
      </c>
      <c r="M3" s="17">
        <v>5.4600000000000003E-2</v>
      </c>
      <c r="N3" s="38">
        <v>4.3999999999999997E-2</v>
      </c>
      <c r="O3" s="73">
        <v>1.92</v>
      </c>
      <c r="P3" s="38">
        <v>2.8E-3</v>
      </c>
      <c r="Q3" s="17">
        <v>1.35</v>
      </c>
      <c r="R3" s="17">
        <v>1.62</v>
      </c>
      <c r="S3" s="17">
        <v>0.999</v>
      </c>
      <c r="T3" s="17">
        <v>0.82</v>
      </c>
      <c r="U3" s="17">
        <v>20081231</v>
      </c>
      <c r="V3" s="17">
        <v>20190731</v>
      </c>
      <c r="W3" s="17">
        <v>128</v>
      </c>
    </row>
    <row r="4" spans="1:23">
      <c r="A4" s="17" t="s">
        <v>1014</v>
      </c>
      <c r="B4" s="17" t="s">
        <v>968</v>
      </c>
      <c r="C4" s="17">
        <v>3.3799999999999997E-2</v>
      </c>
      <c r="D4" s="17">
        <v>7.1999999999999995E-2</v>
      </c>
      <c r="E4" s="17">
        <v>4.6199999999999998E-2</v>
      </c>
      <c r="F4" s="17">
        <v>4.6399999999999997E-2</v>
      </c>
      <c r="G4" s="17">
        <v>5.8400000000000001E-2</v>
      </c>
      <c r="H4" s="17">
        <v>-7.7999999999999996E-3</v>
      </c>
      <c r="I4" s="17">
        <v>5.2900000000000003E-2</v>
      </c>
      <c r="J4" s="17">
        <v>2.4500000000000001E-2</v>
      </c>
      <c r="K4" s="17">
        <v>7.6700000000000004E-2</v>
      </c>
      <c r="L4" s="17">
        <v>4.5900000000000003E-2</v>
      </c>
      <c r="M4" s="17">
        <v>6.1100000000000002E-2</v>
      </c>
      <c r="N4" s="38">
        <v>4.5999999999999999E-2</v>
      </c>
      <c r="O4" s="73">
        <v>1.95</v>
      </c>
      <c r="P4" s="38">
        <v>3.2000000000000002E-3</v>
      </c>
      <c r="Q4" s="17">
        <v>1.45</v>
      </c>
      <c r="R4" s="17">
        <v>1.76</v>
      </c>
      <c r="S4" s="17">
        <v>0.999</v>
      </c>
      <c r="T4" s="17">
        <v>0.91</v>
      </c>
      <c r="U4" s="17">
        <v>20081231</v>
      </c>
      <c r="V4" s="17">
        <v>20190731</v>
      </c>
      <c r="W4" s="17">
        <v>128</v>
      </c>
    </row>
    <row r="5" spans="1:23">
      <c r="A5" s="17" t="s">
        <v>1014</v>
      </c>
      <c r="B5" s="17" t="s">
        <v>963</v>
      </c>
      <c r="C5" s="17">
        <v>0</v>
      </c>
      <c r="D5" s="17">
        <v>7.0900000000000005E-2</v>
      </c>
      <c r="E5" s="17">
        <v>4.7800000000000002E-2</v>
      </c>
      <c r="F5" s="17">
        <v>3.6700000000000003E-2</v>
      </c>
      <c r="G5" s="17">
        <v>4.5499999999999999E-2</v>
      </c>
      <c r="H5" s="17">
        <v>-1.2999999999999999E-2</v>
      </c>
      <c r="I5" s="17">
        <v>3.5799999999999998E-2</v>
      </c>
      <c r="J5" s="17">
        <v>1.49E-2</v>
      </c>
      <c r="K5" s="17">
        <v>4.2099999999999999E-2</v>
      </c>
      <c r="L5" s="17">
        <v>3.4200000000000001E-2</v>
      </c>
      <c r="M5" s="17">
        <v>3.7999999999999999E-2</v>
      </c>
      <c r="N5" s="38">
        <v>3.5000000000000003E-2</v>
      </c>
      <c r="O5" s="73">
        <v>1.79</v>
      </c>
      <c r="P5" s="38">
        <v>2E-3</v>
      </c>
      <c r="Q5" s="17">
        <v>1.0900000000000001</v>
      </c>
      <c r="R5" s="17">
        <v>1.23</v>
      </c>
      <c r="S5" s="17">
        <v>1</v>
      </c>
      <c r="T5" s="17">
        <v>0.49</v>
      </c>
      <c r="U5" s="17">
        <v>20100129</v>
      </c>
      <c r="V5" s="17">
        <v>20190731</v>
      </c>
      <c r="W5" s="17">
        <v>115</v>
      </c>
    </row>
    <row r="6" spans="1:23">
      <c r="A6" s="17" t="s">
        <v>1014</v>
      </c>
      <c r="B6" s="17" t="s">
        <v>964</v>
      </c>
      <c r="C6" s="17">
        <v>0</v>
      </c>
      <c r="D6" s="17">
        <v>7.6200000000000004E-2</v>
      </c>
      <c r="E6" s="17">
        <v>4.6600000000000003E-2</v>
      </c>
      <c r="F6" s="17">
        <v>4.8899999999999999E-2</v>
      </c>
      <c r="G6" s="17">
        <v>5.5800000000000002E-2</v>
      </c>
      <c r="H6" s="17">
        <v>-8.8000000000000005E-3</v>
      </c>
      <c r="I6" s="17">
        <v>4.8599999999999997E-2</v>
      </c>
      <c r="J6" s="17">
        <v>1.8499999999999999E-2</v>
      </c>
      <c r="K6" s="17">
        <v>6.1899999999999997E-2</v>
      </c>
      <c r="L6" s="17">
        <v>4.2900000000000001E-2</v>
      </c>
      <c r="M6" s="17">
        <v>5.3100000000000001E-2</v>
      </c>
      <c r="N6" s="38">
        <v>4.3999999999999997E-2</v>
      </c>
      <c r="O6" s="73">
        <v>1.99</v>
      </c>
      <c r="P6" s="38">
        <v>2.7000000000000001E-3</v>
      </c>
      <c r="Q6" s="17">
        <v>1.31</v>
      </c>
      <c r="R6" s="17">
        <v>1.64</v>
      </c>
      <c r="S6" s="17">
        <v>1</v>
      </c>
      <c r="T6" s="17">
        <v>0.82</v>
      </c>
      <c r="U6" s="17">
        <v>20100129</v>
      </c>
      <c r="V6" s="17">
        <v>20190731</v>
      </c>
      <c r="W6" s="17">
        <v>115</v>
      </c>
    </row>
    <row r="7" spans="1:23">
      <c r="A7" s="17" t="s">
        <v>1014</v>
      </c>
      <c r="B7" s="17" t="s">
        <v>965</v>
      </c>
      <c r="C7" s="17">
        <v>0</v>
      </c>
      <c r="D7" s="17">
        <v>7.46E-2</v>
      </c>
      <c r="E7" s="17">
        <v>4.6300000000000001E-2</v>
      </c>
      <c r="F7" s="17">
        <v>4.7100000000000003E-2</v>
      </c>
      <c r="G7" s="17">
        <v>5.7299999999999997E-2</v>
      </c>
      <c r="H7" s="17">
        <v>-4.4999999999999997E-3</v>
      </c>
      <c r="I7" s="17">
        <v>5.6800000000000003E-2</v>
      </c>
      <c r="J7" s="17">
        <v>2.4E-2</v>
      </c>
      <c r="K7" s="17">
        <v>6.7199999999999996E-2</v>
      </c>
      <c r="L7" s="17">
        <v>4.2799999999999998E-2</v>
      </c>
      <c r="M7" s="17">
        <v>6.0499999999999998E-2</v>
      </c>
      <c r="N7" s="38">
        <v>4.5999999999999999E-2</v>
      </c>
      <c r="O7" s="73">
        <v>2.0499999999999998</v>
      </c>
      <c r="P7" s="38">
        <v>3.0000000000000001E-3</v>
      </c>
      <c r="Q7" s="17">
        <v>1.39</v>
      </c>
      <c r="R7" s="17">
        <v>1.76</v>
      </c>
      <c r="S7" s="17">
        <v>1</v>
      </c>
      <c r="T7" s="17">
        <v>0.9</v>
      </c>
      <c r="U7" s="17">
        <v>20100129</v>
      </c>
      <c r="V7" s="17">
        <v>20190731</v>
      </c>
      <c r="W7" s="17">
        <v>115</v>
      </c>
    </row>
    <row r="8" spans="1:23">
      <c r="A8" s="17" t="s">
        <v>1014</v>
      </c>
      <c r="B8" s="17" t="s">
        <v>976</v>
      </c>
      <c r="C8" s="17">
        <v>2.1000000000000001E-2</v>
      </c>
      <c r="D8" s="17">
        <v>1.9800000000000002E-2</v>
      </c>
      <c r="E8" s="17">
        <v>1.5299999999999999E-2</v>
      </c>
      <c r="F8" s="34">
        <v>-4.0000000000000002E-4</v>
      </c>
      <c r="G8" s="17">
        <v>2.86E-2</v>
      </c>
      <c r="H8" s="17">
        <v>3.9E-2</v>
      </c>
      <c r="I8" s="17">
        <v>2.6800000000000001E-2</v>
      </c>
      <c r="J8" s="17">
        <v>7.1000000000000004E-3</v>
      </c>
      <c r="K8" s="17">
        <v>3.7000000000000002E-3</v>
      </c>
      <c r="L8" s="17">
        <v>2.0199999999999999E-2</v>
      </c>
      <c r="M8" s="17">
        <v>5.1999999999999998E-3</v>
      </c>
      <c r="N8" s="38">
        <v>1.7000000000000001E-2</v>
      </c>
      <c r="O8" s="73">
        <v>1.29</v>
      </c>
      <c r="P8" s="38">
        <v>1.8E-3</v>
      </c>
      <c r="Q8" s="17">
        <v>2.11</v>
      </c>
      <c r="R8" s="17">
        <v>0.74</v>
      </c>
      <c r="S8" s="17">
        <v>0.81399999999999995</v>
      </c>
      <c r="T8" s="17">
        <v>0.61</v>
      </c>
      <c r="U8" s="17">
        <v>20081231</v>
      </c>
      <c r="V8" s="17">
        <v>20190731</v>
      </c>
      <c r="W8" s="17">
        <v>128</v>
      </c>
    </row>
    <row r="9" spans="1:23">
      <c r="A9" s="17" t="s">
        <v>1014</v>
      </c>
      <c r="B9" s="17" t="s">
        <v>977</v>
      </c>
      <c r="C9" s="17">
        <v>3.2300000000000002E-2</v>
      </c>
      <c r="D9" s="17">
        <v>3.9300000000000002E-2</v>
      </c>
      <c r="E9" s="17">
        <v>1.4800000000000001E-2</v>
      </c>
      <c r="F9" s="17">
        <v>6.3E-3</v>
      </c>
      <c r="G9" s="17">
        <v>1.47E-2</v>
      </c>
      <c r="H9" s="17">
        <v>4.4999999999999997E-3</v>
      </c>
      <c r="I9" s="17">
        <v>9.7000000000000003E-3</v>
      </c>
      <c r="J9" s="34">
        <v>-2.0000000000000001E-4</v>
      </c>
      <c r="K9" s="17">
        <v>1.6799999999999999E-2</v>
      </c>
      <c r="L9" s="17">
        <v>1.5800000000000002E-2</v>
      </c>
      <c r="M9" s="17">
        <v>1.8E-3</v>
      </c>
      <c r="N9" s="38">
        <v>1.4999999999999999E-2</v>
      </c>
      <c r="O9" s="73">
        <v>1.3</v>
      </c>
      <c r="P9" s="38">
        <v>1.5E-3</v>
      </c>
      <c r="Q9" s="17">
        <v>1.45</v>
      </c>
      <c r="R9" s="17">
        <v>0.54</v>
      </c>
      <c r="S9" s="17">
        <v>0.82799999999999996</v>
      </c>
      <c r="T9" s="17">
        <v>0.57999999999999996</v>
      </c>
      <c r="U9" s="17">
        <v>20081231</v>
      </c>
      <c r="V9" s="17">
        <v>20190731</v>
      </c>
      <c r="W9" s="17">
        <v>128</v>
      </c>
    </row>
    <row r="10" spans="1:23">
      <c r="A10" s="17" t="s">
        <v>1014</v>
      </c>
      <c r="B10" s="17" t="s">
        <v>978</v>
      </c>
      <c r="C10" s="17">
        <v>5.0900000000000001E-2</v>
      </c>
      <c r="D10" s="17">
        <v>3.3300000000000003E-2</v>
      </c>
      <c r="E10" s="17">
        <v>2.7799999999999998E-2</v>
      </c>
      <c r="F10" s="17">
        <v>3.3E-3</v>
      </c>
      <c r="G10" s="17">
        <v>2.5000000000000001E-3</v>
      </c>
      <c r="H10" s="17">
        <v>7.1000000000000004E-3</v>
      </c>
      <c r="I10" s="17">
        <v>-2.0400000000000001E-2</v>
      </c>
      <c r="J10" s="17">
        <v>-1.6E-2</v>
      </c>
      <c r="K10" s="17">
        <v>5.1000000000000004E-3</v>
      </c>
      <c r="L10" s="17">
        <v>3.3799999999999997E-2</v>
      </c>
      <c r="M10" s="17">
        <v>1.83E-2</v>
      </c>
      <c r="N10" s="38">
        <v>1.2999999999999999E-2</v>
      </c>
      <c r="O10" s="73">
        <v>0.83</v>
      </c>
      <c r="P10" s="38">
        <v>1.6000000000000001E-3</v>
      </c>
      <c r="Q10" s="17">
        <v>1.37</v>
      </c>
      <c r="R10" s="17">
        <v>0.49</v>
      </c>
      <c r="S10" s="17">
        <v>0.59799999999999998</v>
      </c>
      <c r="T10" s="17">
        <v>-0.02</v>
      </c>
      <c r="U10" s="17">
        <v>20081231</v>
      </c>
      <c r="V10" s="17">
        <v>20190731</v>
      </c>
      <c r="W10" s="17">
        <v>128</v>
      </c>
    </row>
    <row r="11" spans="1:23">
      <c r="A11" s="17" t="s">
        <v>1014</v>
      </c>
      <c r="B11" s="17" t="s">
        <v>979</v>
      </c>
      <c r="C11" s="17">
        <v>1.9300000000000001E-2</v>
      </c>
      <c r="D11" s="17">
        <v>1.44E-2</v>
      </c>
      <c r="E11" s="17">
        <v>2.4E-2</v>
      </c>
      <c r="F11" s="17">
        <v>1E-3</v>
      </c>
      <c r="G11" s="17">
        <v>3.1800000000000002E-2</v>
      </c>
      <c r="H11" s="17">
        <v>3.1199999999999999E-2</v>
      </c>
      <c r="I11" s="17">
        <v>2.6700000000000002E-2</v>
      </c>
      <c r="J11" s="17">
        <v>1.0200000000000001E-2</v>
      </c>
      <c r="K11" s="17">
        <v>7.4999999999999997E-3</v>
      </c>
      <c r="L11" s="17">
        <v>2.01E-2</v>
      </c>
      <c r="M11" s="17">
        <v>1.9E-3</v>
      </c>
      <c r="N11" s="38">
        <v>1.7999999999999999E-2</v>
      </c>
      <c r="O11" s="73">
        <v>1.39</v>
      </c>
      <c r="P11" s="38">
        <v>1.9E-3</v>
      </c>
      <c r="Q11" s="17">
        <v>2.1</v>
      </c>
      <c r="R11" s="17">
        <v>0.75</v>
      </c>
      <c r="S11" s="17">
        <v>0.81699999999999995</v>
      </c>
      <c r="T11" s="17">
        <v>0.71</v>
      </c>
      <c r="U11" s="17">
        <v>20081231</v>
      </c>
      <c r="V11" s="17">
        <v>20190731</v>
      </c>
      <c r="W11" s="17">
        <v>128</v>
      </c>
    </row>
    <row r="12" spans="1:23">
      <c r="A12" s="17" t="s">
        <v>1014</v>
      </c>
      <c r="B12" s="17" t="s">
        <v>980</v>
      </c>
      <c r="C12" s="17">
        <v>2.4799999999999999E-2</v>
      </c>
      <c r="D12" s="17">
        <v>2.92E-2</v>
      </c>
      <c r="E12" s="17">
        <v>1E-3</v>
      </c>
      <c r="F12" s="17">
        <v>3.1099999999999999E-2</v>
      </c>
      <c r="G12" s="17">
        <v>4.3E-3</v>
      </c>
      <c r="H12" s="17">
        <v>0</v>
      </c>
      <c r="I12" s="17">
        <v>-1.7500000000000002E-2</v>
      </c>
      <c r="J12" s="17">
        <v>-2.47E-2</v>
      </c>
      <c r="K12" s="17">
        <v>-2.5700000000000001E-2</v>
      </c>
      <c r="L12" s="17">
        <v>4.2799999999999998E-2</v>
      </c>
      <c r="M12" s="17">
        <v>-2.9000000000000001E-2</v>
      </c>
      <c r="N12" s="38">
        <v>4.0000000000000001E-3</v>
      </c>
      <c r="O12" s="73">
        <v>0.25</v>
      </c>
      <c r="P12" s="38">
        <v>8.0000000000000004E-4</v>
      </c>
      <c r="Q12" s="17">
        <v>0.83</v>
      </c>
      <c r="R12" s="17">
        <v>0.27</v>
      </c>
      <c r="S12" s="17">
        <v>0.66300000000000003</v>
      </c>
      <c r="T12" s="17">
        <v>0.23</v>
      </c>
      <c r="U12" s="17">
        <v>20081231</v>
      </c>
      <c r="V12" s="17">
        <v>20190731</v>
      </c>
      <c r="W12" s="17">
        <v>128</v>
      </c>
    </row>
    <row r="13" spans="1:23">
      <c r="A13" s="17" t="s">
        <v>1014</v>
      </c>
      <c r="B13" s="17" t="s">
        <v>981</v>
      </c>
      <c r="C13" s="17">
        <v>5.1700000000000003E-2</v>
      </c>
      <c r="D13" s="17">
        <v>6.2300000000000001E-2</v>
      </c>
      <c r="E13" s="17">
        <v>3.56E-2</v>
      </c>
      <c r="F13" s="17">
        <v>2.8899999999999999E-2</v>
      </c>
      <c r="G13" s="17">
        <v>4.48E-2</v>
      </c>
      <c r="H13" s="17">
        <v>6.4000000000000003E-3</v>
      </c>
      <c r="I13" s="17">
        <v>3.4599999999999999E-2</v>
      </c>
      <c r="J13" s="17">
        <v>9.4000000000000004E-3</v>
      </c>
      <c r="K13" s="17">
        <v>4.82E-2</v>
      </c>
      <c r="L13" s="17">
        <v>2.4799999999999999E-2</v>
      </c>
      <c r="M13" s="17">
        <v>4.4400000000000002E-2</v>
      </c>
      <c r="N13" s="38">
        <v>3.5000000000000003E-2</v>
      </c>
      <c r="O13" s="73">
        <v>2.4900000000000002</v>
      </c>
      <c r="P13" s="38">
        <v>3.3999999999999998E-3</v>
      </c>
      <c r="Q13" s="17">
        <v>2.4300000000000002</v>
      </c>
      <c r="R13" s="17">
        <v>1.24</v>
      </c>
      <c r="S13" s="17">
        <v>0.77</v>
      </c>
      <c r="T13" s="17">
        <v>0.65</v>
      </c>
      <c r="U13" s="17">
        <v>20081231</v>
      </c>
      <c r="V13" s="17">
        <v>20190731</v>
      </c>
      <c r="W13" s="17">
        <v>128</v>
      </c>
    </row>
    <row r="14" spans="1:23">
      <c r="A14" s="17" t="s">
        <v>1014</v>
      </c>
      <c r="B14" s="17" t="s">
        <v>2296</v>
      </c>
      <c r="C14" s="17">
        <v>3.5200000000000002E-2</v>
      </c>
      <c r="D14" s="17">
        <v>6.83E-2</v>
      </c>
      <c r="E14" s="17">
        <v>4.2900000000000001E-2</v>
      </c>
      <c r="F14" s="17">
        <v>3.5299999999999998E-2</v>
      </c>
      <c r="G14" s="17">
        <v>4.6899999999999997E-2</v>
      </c>
      <c r="H14" s="17">
        <v>7.4000000000000003E-3</v>
      </c>
      <c r="I14" s="17">
        <v>3.5400000000000001E-2</v>
      </c>
      <c r="J14" s="17">
        <v>7.4000000000000003E-3</v>
      </c>
      <c r="K14" s="17">
        <v>4.99E-2</v>
      </c>
      <c r="L14" s="17">
        <v>1.5299999999999999E-2</v>
      </c>
      <c r="M14" s="17">
        <v>3.1199999999999999E-2</v>
      </c>
      <c r="N14" s="38">
        <v>3.4000000000000002E-2</v>
      </c>
      <c r="O14" s="73">
        <v>2.33</v>
      </c>
      <c r="P14" s="38">
        <v>3.3E-3</v>
      </c>
      <c r="Q14" s="17">
        <v>2.12</v>
      </c>
      <c r="R14" s="17">
        <v>1.28</v>
      </c>
      <c r="S14" s="17">
        <v>0.81899999999999995</v>
      </c>
      <c r="T14" s="17">
        <v>0.81</v>
      </c>
      <c r="U14" s="17">
        <v>20081231</v>
      </c>
      <c r="V14" s="17">
        <v>20190731</v>
      </c>
      <c r="W14" s="17">
        <v>128</v>
      </c>
    </row>
    <row r="15" spans="1:23">
      <c r="A15" s="17" t="s">
        <v>1014</v>
      </c>
      <c r="B15" s="17" t="s">
        <v>2278</v>
      </c>
      <c r="C15" s="17">
        <v>5.74E-2</v>
      </c>
      <c r="D15" s="17">
        <v>5.7599999999999998E-2</v>
      </c>
      <c r="E15" s="17">
        <v>3.1099999999999999E-2</v>
      </c>
      <c r="F15" s="17">
        <v>1.54E-2</v>
      </c>
      <c r="G15" s="17">
        <v>3.73E-2</v>
      </c>
      <c r="H15" s="17">
        <v>1.1299999999999999E-2</v>
      </c>
      <c r="I15" s="17">
        <v>3.2899999999999999E-2</v>
      </c>
      <c r="J15" s="17">
        <v>1.32E-2</v>
      </c>
      <c r="K15" s="17">
        <v>2.81E-2</v>
      </c>
      <c r="L15" s="17">
        <v>2.64E-2</v>
      </c>
      <c r="M15" s="17">
        <v>3.9E-2</v>
      </c>
      <c r="N15" s="38">
        <v>3.2000000000000001E-2</v>
      </c>
      <c r="O15" s="73">
        <v>2.2999999999999998</v>
      </c>
      <c r="P15" s="38">
        <v>3.5000000000000001E-3</v>
      </c>
      <c r="Q15" s="17">
        <v>2.84</v>
      </c>
      <c r="R15" s="17">
        <v>1.19</v>
      </c>
      <c r="S15" s="17">
        <v>0.67500000000000004</v>
      </c>
      <c r="T15" s="17">
        <v>0.34</v>
      </c>
      <c r="U15" s="17">
        <v>20081231</v>
      </c>
      <c r="V15" s="17">
        <v>20190731</v>
      </c>
      <c r="W15" s="17">
        <v>128</v>
      </c>
    </row>
    <row r="16" spans="1:23">
      <c r="A16" s="17" t="s">
        <v>1014</v>
      </c>
      <c r="B16" s="17" t="s">
        <v>2297</v>
      </c>
      <c r="C16" s="17">
        <v>5.4399999999999997E-2</v>
      </c>
      <c r="D16" s="17">
        <v>6.6000000000000003E-2</v>
      </c>
      <c r="E16" s="17">
        <v>3.5400000000000001E-2</v>
      </c>
      <c r="F16" s="17">
        <v>2.64E-2</v>
      </c>
      <c r="G16" s="17">
        <v>4.4499999999999998E-2</v>
      </c>
      <c r="H16" s="17">
        <v>1.14E-2</v>
      </c>
      <c r="I16" s="17">
        <v>3.5200000000000002E-2</v>
      </c>
      <c r="J16" s="17">
        <v>1.6899999999999998E-2</v>
      </c>
      <c r="K16" s="17">
        <v>3.7600000000000001E-2</v>
      </c>
      <c r="L16" s="17">
        <v>2.92E-2</v>
      </c>
      <c r="M16" s="17">
        <v>3.9800000000000002E-2</v>
      </c>
      <c r="N16" s="38">
        <v>3.5999999999999997E-2</v>
      </c>
      <c r="O16" s="73">
        <v>2.66</v>
      </c>
      <c r="P16" s="38">
        <v>3.5999999999999999E-3</v>
      </c>
      <c r="Q16" s="17">
        <v>2.66</v>
      </c>
      <c r="R16" s="17">
        <v>1.3</v>
      </c>
      <c r="S16" s="17">
        <v>0.73699999999999999</v>
      </c>
      <c r="T16" s="17">
        <v>0.56999999999999995</v>
      </c>
      <c r="U16" s="17">
        <v>20081231</v>
      </c>
      <c r="V16" s="17">
        <v>20190731</v>
      </c>
      <c r="W16" s="17">
        <v>128</v>
      </c>
    </row>
    <row r="17" spans="1:23">
      <c r="A17" s="17" t="s">
        <v>1014</v>
      </c>
      <c r="B17" s="17" t="s">
        <v>2277</v>
      </c>
      <c r="C17" s="17">
        <v>3.6299999999999999E-2</v>
      </c>
      <c r="D17" s="17">
        <v>6.6799999999999998E-2</v>
      </c>
      <c r="E17" s="17">
        <v>4.3700000000000003E-2</v>
      </c>
      <c r="F17" s="17">
        <v>3.5400000000000001E-2</v>
      </c>
      <c r="G17" s="17">
        <v>5.0799999999999998E-2</v>
      </c>
      <c r="H17" s="17">
        <v>1.2999999999999999E-3</v>
      </c>
      <c r="I17" s="17">
        <v>4.0599999999999997E-2</v>
      </c>
      <c r="J17" s="17">
        <v>7.1999999999999998E-3</v>
      </c>
      <c r="K17" s="17">
        <v>4.8399999999999999E-2</v>
      </c>
      <c r="L17" s="17">
        <v>1.3299999999999999E-2</v>
      </c>
      <c r="M17" s="17">
        <v>3.5700000000000003E-2</v>
      </c>
      <c r="N17" s="38">
        <v>3.4000000000000002E-2</v>
      </c>
      <c r="O17" s="73">
        <v>2.3199999999999998</v>
      </c>
      <c r="P17" s="38">
        <v>3.3E-3</v>
      </c>
      <c r="Q17" s="17">
        <v>2.17</v>
      </c>
      <c r="R17" s="17">
        <v>1.22</v>
      </c>
      <c r="S17" s="17">
        <v>0.80200000000000005</v>
      </c>
      <c r="T17" s="17">
        <v>0.77</v>
      </c>
      <c r="U17" s="17">
        <v>20081231</v>
      </c>
      <c r="V17" s="17">
        <v>20190731</v>
      </c>
      <c r="W17" s="17">
        <v>128</v>
      </c>
    </row>
    <row r="18" spans="1:23">
      <c r="A18" s="17" t="s">
        <v>1014</v>
      </c>
      <c r="B18" s="17" t="s">
        <v>982</v>
      </c>
      <c r="C18" s="17">
        <v>5.7599999999999998E-2</v>
      </c>
      <c r="D18" s="17">
        <v>4.8300000000000003E-2</v>
      </c>
      <c r="E18" s="17">
        <v>2.93E-2</v>
      </c>
      <c r="F18" s="17">
        <v>1.7100000000000001E-2</v>
      </c>
      <c r="G18" s="17">
        <v>4.0599999999999997E-2</v>
      </c>
      <c r="H18" s="17">
        <v>6.6E-3</v>
      </c>
      <c r="I18" s="17">
        <v>2.9100000000000001E-2</v>
      </c>
      <c r="J18" s="17">
        <v>1.41E-2</v>
      </c>
      <c r="K18" s="17">
        <v>2.53E-2</v>
      </c>
      <c r="L18" s="17">
        <v>3.0499999999999999E-2</v>
      </c>
      <c r="M18" s="17">
        <v>5.0900000000000001E-2</v>
      </c>
      <c r="N18" s="38">
        <v>3.1E-2</v>
      </c>
      <c r="O18" s="73">
        <v>2.12</v>
      </c>
      <c r="P18" s="38">
        <v>3.5000000000000001E-3</v>
      </c>
      <c r="Q18" s="17">
        <v>2.68</v>
      </c>
      <c r="R18" s="17">
        <v>1.1000000000000001</v>
      </c>
      <c r="S18" s="17">
        <v>0.59499999999999997</v>
      </c>
      <c r="T18" s="17">
        <v>0.31</v>
      </c>
      <c r="U18" s="17">
        <v>20081231</v>
      </c>
      <c r="V18" s="17">
        <v>20190731</v>
      </c>
      <c r="W18" s="17">
        <v>128</v>
      </c>
    </row>
    <row r="19" spans="1:23">
      <c r="A19" s="17" t="s">
        <v>1014</v>
      </c>
      <c r="B19" s="17" t="s">
        <v>983</v>
      </c>
      <c r="C19" s="17">
        <v>1.43E-2</v>
      </c>
      <c r="D19" s="17">
        <v>2.0899999999999998E-2</v>
      </c>
      <c r="E19" s="17">
        <v>4.4999999999999998E-2</v>
      </c>
      <c r="F19" s="17">
        <v>1.3100000000000001E-2</v>
      </c>
      <c r="G19" s="17">
        <v>4.4000000000000003E-3</v>
      </c>
      <c r="H19" s="17">
        <v>5.1000000000000004E-3</v>
      </c>
      <c r="I19" s="17">
        <v>2.2000000000000001E-3</v>
      </c>
      <c r="J19" s="17">
        <v>8.8000000000000005E-3</v>
      </c>
      <c r="K19" s="34">
        <v>-5.9999999999999995E-4</v>
      </c>
      <c r="L19" s="17">
        <v>-7.4000000000000003E-3</v>
      </c>
      <c r="M19" s="17">
        <v>-7.7999999999999996E-3</v>
      </c>
      <c r="N19" s="38">
        <v>8.9999999999999993E-3</v>
      </c>
      <c r="O19" s="73">
        <v>1.01</v>
      </c>
      <c r="P19" s="38">
        <v>1.2999999999999999E-3</v>
      </c>
      <c r="Q19" s="17">
        <v>1.26</v>
      </c>
      <c r="R19" s="17">
        <v>0.33</v>
      </c>
      <c r="S19" s="17">
        <v>0.64900000000000002</v>
      </c>
      <c r="T19" s="17">
        <v>-0.25</v>
      </c>
      <c r="U19" s="17">
        <v>20081231</v>
      </c>
      <c r="V19" s="17">
        <v>20190731</v>
      </c>
      <c r="W19" s="17">
        <v>128</v>
      </c>
    </row>
    <row r="20" spans="1:23">
      <c r="A20" s="17" t="s">
        <v>1014</v>
      </c>
      <c r="B20" s="17" t="s">
        <v>984</v>
      </c>
      <c r="C20" s="17">
        <v>2.2499999999999999E-2</v>
      </c>
      <c r="D20" s="17">
        <v>2.23E-2</v>
      </c>
      <c r="E20" s="17">
        <v>2.8799999999999999E-2</v>
      </c>
      <c r="F20" s="17">
        <v>4.4000000000000003E-3</v>
      </c>
      <c r="G20" s="17">
        <v>3.85E-2</v>
      </c>
      <c r="H20" s="17">
        <v>3.7199999999999997E-2</v>
      </c>
      <c r="I20" s="17">
        <v>2.86E-2</v>
      </c>
      <c r="J20" s="17">
        <v>2.53E-2</v>
      </c>
      <c r="K20" s="17">
        <v>1.3899999999999999E-2</v>
      </c>
      <c r="L20" s="17">
        <v>-6.7999999999999996E-3</v>
      </c>
      <c r="M20" s="17">
        <v>-1.6500000000000001E-2</v>
      </c>
      <c r="N20" s="38">
        <v>1.9E-2</v>
      </c>
      <c r="O20" s="73">
        <v>1.42</v>
      </c>
      <c r="P20" s="38">
        <v>1.1000000000000001E-3</v>
      </c>
      <c r="Q20" s="17">
        <v>0.87</v>
      </c>
      <c r="R20" s="17">
        <v>0.42</v>
      </c>
      <c r="S20" s="17">
        <v>0.71499999999999997</v>
      </c>
      <c r="T20" s="17">
        <v>0.61</v>
      </c>
      <c r="U20" s="17">
        <v>20081231</v>
      </c>
      <c r="V20" s="17">
        <v>20190731</v>
      </c>
      <c r="W20" s="17">
        <v>128</v>
      </c>
    </row>
    <row r="21" spans="1:23">
      <c r="A21" s="17" t="s">
        <v>1014</v>
      </c>
      <c r="B21" s="17" t="s">
        <v>985</v>
      </c>
      <c r="C21" s="17">
        <v>3.95E-2</v>
      </c>
      <c r="D21" s="17">
        <v>5.0599999999999999E-2</v>
      </c>
      <c r="E21" s="17">
        <v>2.0400000000000001E-2</v>
      </c>
      <c r="F21" s="17">
        <v>2.35E-2</v>
      </c>
      <c r="G21" s="17">
        <v>3.8699999999999998E-2</v>
      </c>
      <c r="H21" s="17">
        <v>2.3999999999999998E-3</v>
      </c>
      <c r="I21" s="17">
        <v>3.15E-2</v>
      </c>
      <c r="J21" s="17">
        <v>7.7999999999999996E-3</v>
      </c>
      <c r="K21" s="17">
        <v>3.8199999999999998E-2</v>
      </c>
      <c r="L21" s="17">
        <v>1.2E-2</v>
      </c>
      <c r="M21" s="17">
        <v>3.6900000000000002E-2</v>
      </c>
      <c r="N21" s="38">
        <v>2.7E-2</v>
      </c>
      <c r="O21" s="73">
        <v>2.41</v>
      </c>
      <c r="P21" s="38">
        <v>2.8E-3</v>
      </c>
      <c r="Q21" s="17">
        <v>2.5299999999999998</v>
      </c>
      <c r="R21" s="17">
        <v>1.0900000000000001</v>
      </c>
      <c r="S21" s="17">
        <v>0.89</v>
      </c>
      <c r="T21" s="17">
        <v>0.56000000000000005</v>
      </c>
      <c r="U21" s="17">
        <v>20081231</v>
      </c>
      <c r="V21" s="17">
        <v>20190731</v>
      </c>
      <c r="W21" s="17">
        <v>128</v>
      </c>
    </row>
    <row r="22" spans="1:23">
      <c r="A22" s="17" t="s">
        <v>1014</v>
      </c>
      <c r="B22" s="17" t="s">
        <v>986</v>
      </c>
      <c r="C22" s="17">
        <v>2.3099999999999999E-2</v>
      </c>
      <c r="D22" s="17">
        <v>6.3700000000000007E-2</v>
      </c>
      <c r="E22" s="17">
        <v>3.7400000000000003E-2</v>
      </c>
      <c r="F22" s="17">
        <v>4.8800000000000003E-2</v>
      </c>
      <c r="G22" s="17">
        <v>6.0900000000000003E-2</v>
      </c>
      <c r="H22" s="17">
        <v>-2.7000000000000001E-3</v>
      </c>
      <c r="I22" s="17">
        <v>4.0500000000000001E-2</v>
      </c>
      <c r="J22" s="17">
        <v>1.1000000000000001E-3</v>
      </c>
      <c r="K22" s="17">
        <v>2.1899999999999999E-2</v>
      </c>
      <c r="L22" s="17">
        <v>-8.8999999999999999E-3</v>
      </c>
      <c r="M22" s="17">
        <v>1.8800000000000001E-2</v>
      </c>
      <c r="N22" s="38">
        <v>2.8000000000000001E-2</v>
      </c>
      <c r="O22" s="73">
        <v>1.45</v>
      </c>
      <c r="P22" s="38">
        <v>2.7000000000000001E-3</v>
      </c>
      <c r="Q22" s="17">
        <v>1.41</v>
      </c>
      <c r="R22" s="17">
        <v>1.03</v>
      </c>
      <c r="S22" s="17">
        <v>0.86099999999999999</v>
      </c>
      <c r="T22" s="17">
        <v>0.8</v>
      </c>
      <c r="U22" s="17">
        <v>20081231</v>
      </c>
      <c r="V22" s="17">
        <v>20190731</v>
      </c>
      <c r="W22" s="17">
        <v>128</v>
      </c>
    </row>
    <row r="23" spans="1:23">
      <c r="A23" s="17" t="s">
        <v>1014</v>
      </c>
      <c r="B23" s="17" t="s">
        <v>987</v>
      </c>
      <c r="C23" s="17">
        <v>1.9900000000000001E-2</v>
      </c>
      <c r="D23" s="17">
        <v>2.92E-2</v>
      </c>
      <c r="E23" s="17">
        <v>2.8500000000000001E-2</v>
      </c>
      <c r="F23" s="17">
        <v>4.7000000000000002E-3</v>
      </c>
      <c r="G23" s="17">
        <v>3.4599999999999999E-2</v>
      </c>
      <c r="H23" s="17">
        <v>2.3400000000000001E-2</v>
      </c>
      <c r="I23" s="17">
        <v>3.4500000000000003E-2</v>
      </c>
      <c r="J23" s="17">
        <v>4.3E-3</v>
      </c>
      <c r="K23" s="17">
        <v>1.37E-2</v>
      </c>
      <c r="L23" s="17">
        <v>2.3099999999999999E-2</v>
      </c>
      <c r="M23" s="17">
        <v>1.4500000000000001E-2</v>
      </c>
      <c r="N23" s="38">
        <v>2.1000000000000001E-2</v>
      </c>
      <c r="O23" s="73">
        <v>1.7</v>
      </c>
      <c r="P23" s="38">
        <v>2.0999999999999999E-3</v>
      </c>
      <c r="Q23" s="17">
        <v>2</v>
      </c>
      <c r="R23" s="17">
        <v>0.84</v>
      </c>
      <c r="S23" s="17">
        <v>0.81599999999999995</v>
      </c>
      <c r="T23" s="17">
        <v>0.7</v>
      </c>
      <c r="U23" s="17">
        <v>20081231</v>
      </c>
      <c r="V23" s="17">
        <v>20190731</v>
      </c>
      <c r="W23" s="17">
        <v>128</v>
      </c>
    </row>
    <row r="24" spans="1:23">
      <c r="A24" s="17" t="s">
        <v>1014</v>
      </c>
      <c r="B24" s="17" t="s">
        <v>988</v>
      </c>
      <c r="C24" s="17">
        <v>3.5099999999999999E-2</v>
      </c>
      <c r="D24" s="17">
        <v>5.5399999999999998E-2</v>
      </c>
      <c r="E24" s="17">
        <v>1.8499999999999999E-2</v>
      </c>
      <c r="F24" s="17">
        <v>1.04E-2</v>
      </c>
      <c r="G24" s="17">
        <v>2.12E-2</v>
      </c>
      <c r="H24" s="17">
        <v>3.5000000000000001E-3</v>
      </c>
      <c r="I24" s="17">
        <v>1.37E-2</v>
      </c>
      <c r="J24" s="17">
        <v>-3.0999999999999999E-3</v>
      </c>
      <c r="K24" s="17">
        <v>2.6499999999999999E-2</v>
      </c>
      <c r="L24" s="17">
        <v>2.1600000000000001E-2</v>
      </c>
      <c r="M24" s="17">
        <v>1.4200000000000001E-2</v>
      </c>
      <c r="N24" s="38">
        <v>0.02</v>
      </c>
      <c r="O24" s="73">
        <v>1.56</v>
      </c>
      <c r="P24" s="38">
        <v>1.9E-3</v>
      </c>
      <c r="Q24" s="17">
        <v>1.72</v>
      </c>
      <c r="R24" s="17">
        <v>0.75</v>
      </c>
      <c r="S24" s="17">
        <v>0.873</v>
      </c>
      <c r="T24" s="17">
        <v>0.63</v>
      </c>
      <c r="U24" s="17">
        <v>20081231</v>
      </c>
      <c r="V24" s="17">
        <v>20190731</v>
      </c>
      <c r="W24" s="17">
        <v>128</v>
      </c>
    </row>
    <row r="25" spans="1:23">
      <c r="A25" s="17" t="s">
        <v>1014</v>
      </c>
      <c r="B25" s="17" t="s">
        <v>989</v>
      </c>
      <c r="C25" s="17">
        <v>5.0700000000000002E-2</v>
      </c>
      <c r="D25" s="17">
        <v>3.04E-2</v>
      </c>
      <c r="E25" s="17">
        <v>2.5899999999999999E-2</v>
      </c>
      <c r="F25" s="17">
        <v>5.7000000000000002E-3</v>
      </c>
      <c r="G25" s="34">
        <v>5.9999999999999995E-4</v>
      </c>
      <c r="H25" s="17">
        <v>9.2999999999999992E-3</v>
      </c>
      <c r="I25" s="17">
        <v>-8.9999999999999993E-3</v>
      </c>
      <c r="J25" s="17">
        <v>-1.38E-2</v>
      </c>
      <c r="K25" s="17">
        <v>4.0000000000000001E-3</v>
      </c>
      <c r="L25" s="17">
        <v>2.86E-2</v>
      </c>
      <c r="M25" s="17">
        <v>1.7100000000000001E-2</v>
      </c>
      <c r="N25" s="38">
        <v>1.2999999999999999E-2</v>
      </c>
      <c r="O25" s="73">
        <v>0.92</v>
      </c>
      <c r="P25" s="38">
        <v>1.6999999999999999E-3</v>
      </c>
      <c r="Q25" s="17">
        <v>1.41</v>
      </c>
      <c r="R25" s="17">
        <v>0.53</v>
      </c>
      <c r="S25" s="17">
        <v>0.59799999999999998</v>
      </c>
      <c r="T25" s="17">
        <v>-0.02</v>
      </c>
      <c r="U25" s="17">
        <v>20081231</v>
      </c>
      <c r="V25" s="17">
        <v>20190731</v>
      </c>
      <c r="W25" s="17">
        <v>128</v>
      </c>
    </row>
    <row r="26" spans="1:23">
      <c r="A26" s="17" t="s">
        <v>1014</v>
      </c>
      <c r="B26" s="17" t="s">
        <v>990</v>
      </c>
      <c r="C26" s="17">
        <v>1.4500000000000001E-2</v>
      </c>
      <c r="D26" s="17">
        <v>2.93E-2</v>
      </c>
      <c r="E26" s="17">
        <v>3.7999999999999999E-2</v>
      </c>
      <c r="F26" s="17">
        <v>9.7000000000000003E-3</v>
      </c>
      <c r="G26" s="17">
        <v>3.8899999999999997E-2</v>
      </c>
      <c r="H26" s="17">
        <v>1.9300000000000001E-2</v>
      </c>
      <c r="I26" s="17">
        <v>2.5700000000000001E-2</v>
      </c>
      <c r="J26" s="17">
        <v>7.4999999999999997E-3</v>
      </c>
      <c r="K26" s="17">
        <v>2.12E-2</v>
      </c>
      <c r="L26" s="17">
        <v>2.3E-2</v>
      </c>
      <c r="M26" s="17">
        <v>1.11E-2</v>
      </c>
      <c r="N26" s="38">
        <v>2.1999999999999999E-2</v>
      </c>
      <c r="O26" s="73">
        <v>1.73</v>
      </c>
      <c r="P26" s="38">
        <v>2.2000000000000001E-3</v>
      </c>
      <c r="Q26" s="17">
        <v>2.02</v>
      </c>
      <c r="R26" s="17">
        <v>0.87</v>
      </c>
      <c r="S26" s="17">
        <v>0.81599999999999995</v>
      </c>
      <c r="T26" s="17">
        <v>0.81</v>
      </c>
      <c r="U26" s="17">
        <v>20081231</v>
      </c>
      <c r="V26" s="17">
        <v>20190731</v>
      </c>
      <c r="W26" s="17">
        <v>128</v>
      </c>
    </row>
    <row r="27" spans="1:23">
      <c r="A27" s="17" t="s">
        <v>1014</v>
      </c>
      <c r="B27" s="17" t="s">
        <v>991</v>
      </c>
      <c r="C27" s="17">
        <v>4.6800000000000001E-2</v>
      </c>
      <c r="D27" s="17">
        <v>4.2599999999999999E-2</v>
      </c>
      <c r="E27" s="17">
        <v>1.6799999999999999E-2</v>
      </c>
      <c r="F27" s="17">
        <v>6.1000000000000004E-3</v>
      </c>
      <c r="G27" s="17">
        <v>6.6E-3</v>
      </c>
      <c r="H27" s="17">
        <v>2.2000000000000001E-3</v>
      </c>
      <c r="I27" s="17">
        <v>1.1900000000000001E-2</v>
      </c>
      <c r="J27" s="17">
        <v>-1.3299999999999999E-2</v>
      </c>
      <c r="K27" s="17">
        <v>1.3299999999999999E-2</v>
      </c>
      <c r="L27" s="17">
        <v>2.75E-2</v>
      </c>
      <c r="M27" s="17">
        <v>7.1999999999999998E-3</v>
      </c>
      <c r="N27" s="38">
        <v>1.6E-2</v>
      </c>
      <c r="O27" s="73">
        <v>1.1200000000000001</v>
      </c>
      <c r="P27" s="38">
        <v>1.5E-3</v>
      </c>
      <c r="Q27" s="17">
        <v>1.6</v>
      </c>
      <c r="R27" s="17">
        <v>0.61</v>
      </c>
      <c r="S27" s="17">
        <v>0.872</v>
      </c>
      <c r="T27" s="17">
        <v>0.28999999999999998</v>
      </c>
      <c r="U27" s="17">
        <v>20081231</v>
      </c>
      <c r="V27" s="17">
        <v>20190731</v>
      </c>
      <c r="W27" s="17">
        <v>128</v>
      </c>
    </row>
    <row r="28" spans="1:23">
      <c r="A28" s="17" t="s">
        <v>1014</v>
      </c>
      <c r="B28" s="17" t="s">
        <v>992</v>
      </c>
      <c r="C28" s="17">
        <v>4.9200000000000001E-2</v>
      </c>
      <c r="D28" s="17">
        <v>2.7799999999999998E-2</v>
      </c>
      <c r="E28" s="17">
        <v>2.1499999999999998E-2</v>
      </c>
      <c r="F28" s="17">
        <v>3.0000000000000001E-3</v>
      </c>
      <c r="G28" s="17">
        <v>2.46E-2</v>
      </c>
      <c r="H28" s="17">
        <v>1E-3</v>
      </c>
      <c r="I28" s="17">
        <v>1.72E-2</v>
      </c>
      <c r="J28" s="17">
        <v>-1.15E-2</v>
      </c>
      <c r="K28" s="17">
        <v>6.4000000000000003E-3</v>
      </c>
      <c r="L28" s="34">
        <v>4.0000000000000002E-4</v>
      </c>
      <c r="M28" s="17">
        <v>1.15E-2</v>
      </c>
      <c r="N28" s="38">
        <v>1.4E-2</v>
      </c>
      <c r="O28" s="73">
        <v>1.33</v>
      </c>
      <c r="P28" s="38">
        <v>1.8E-3</v>
      </c>
      <c r="Q28" s="17">
        <v>1.98</v>
      </c>
      <c r="R28" s="17">
        <v>0.7</v>
      </c>
      <c r="S28" s="17">
        <v>0.88600000000000001</v>
      </c>
      <c r="T28" s="17">
        <v>-0.06</v>
      </c>
      <c r="U28" s="17">
        <v>20081231</v>
      </c>
      <c r="V28" s="17">
        <v>20190731</v>
      </c>
      <c r="W28" s="17">
        <v>128</v>
      </c>
    </row>
    <row r="29" spans="1:23">
      <c r="A29" s="17" t="s">
        <v>1014</v>
      </c>
      <c r="B29" s="17" t="s">
        <v>993</v>
      </c>
      <c r="C29" s="17">
        <v>2.3699999999999999E-2</v>
      </c>
      <c r="D29" s="17">
        <v>2.76E-2</v>
      </c>
      <c r="E29" s="17">
        <v>1.9699999999999999E-2</v>
      </c>
      <c r="F29" s="17">
        <v>1.29E-2</v>
      </c>
      <c r="G29" s="17">
        <v>1.6500000000000001E-2</v>
      </c>
      <c r="H29" s="34">
        <v>5.9999999999999995E-4</v>
      </c>
      <c r="I29" s="17">
        <v>-1.9E-3</v>
      </c>
      <c r="J29" s="34">
        <v>1E-4</v>
      </c>
      <c r="K29" s="17">
        <v>1.46E-2</v>
      </c>
      <c r="L29" s="17">
        <v>7.3000000000000001E-3</v>
      </c>
      <c r="M29" s="17">
        <v>6.1000000000000004E-3</v>
      </c>
      <c r="N29" s="38">
        <v>1.2E-2</v>
      </c>
      <c r="O29" s="73">
        <v>1.33</v>
      </c>
      <c r="P29" s="38">
        <v>1.1999999999999999E-3</v>
      </c>
      <c r="Q29" s="17">
        <v>1.36</v>
      </c>
      <c r="R29" s="17">
        <v>0.45</v>
      </c>
      <c r="S29" s="17">
        <v>0.85099999999999998</v>
      </c>
      <c r="T29" s="17">
        <v>0.3</v>
      </c>
      <c r="U29" s="17">
        <v>20081231</v>
      </c>
      <c r="V29" s="17">
        <v>20190731</v>
      </c>
      <c r="W29" s="17">
        <v>128</v>
      </c>
    </row>
    <row r="30" spans="1:23">
      <c r="A30" s="17" t="s">
        <v>1014</v>
      </c>
      <c r="B30" s="17" t="s">
        <v>994</v>
      </c>
      <c r="C30" s="17">
        <v>2.3199999999999998E-2</v>
      </c>
      <c r="D30" s="17">
        <v>3.6600000000000001E-2</v>
      </c>
      <c r="E30" s="17">
        <v>3.04E-2</v>
      </c>
      <c r="F30" s="17">
        <v>2.8799999999999999E-2</v>
      </c>
      <c r="G30" s="17">
        <v>2.1600000000000001E-2</v>
      </c>
      <c r="H30" s="17">
        <v>-1.5E-3</v>
      </c>
      <c r="I30" s="17">
        <v>-2.5999999999999999E-3</v>
      </c>
      <c r="J30" s="17">
        <v>3.3999999999999998E-3</v>
      </c>
      <c r="K30" s="17">
        <v>2.1899999999999999E-2</v>
      </c>
      <c r="L30" s="17">
        <v>7.4000000000000003E-3</v>
      </c>
      <c r="M30" s="17">
        <v>2.3E-2</v>
      </c>
      <c r="N30" s="38">
        <v>1.7000000000000001E-2</v>
      </c>
      <c r="O30" s="73">
        <v>1.84</v>
      </c>
      <c r="P30" s="38">
        <v>1.8E-3</v>
      </c>
      <c r="Q30" s="17">
        <v>1.81</v>
      </c>
      <c r="R30" s="17">
        <v>0.7</v>
      </c>
      <c r="S30" s="17">
        <v>0.91400000000000003</v>
      </c>
      <c r="T30" s="17">
        <v>0.73</v>
      </c>
      <c r="U30" s="17">
        <v>20081231</v>
      </c>
      <c r="V30" s="17">
        <v>20190731</v>
      </c>
      <c r="W30" s="17">
        <v>128</v>
      </c>
    </row>
    <row r="31" spans="1:23">
      <c r="A31" s="17" t="s">
        <v>1014</v>
      </c>
      <c r="B31" s="17" t="s">
        <v>995</v>
      </c>
      <c r="C31" s="17">
        <v>5.9700000000000003E-2</v>
      </c>
      <c r="D31" s="17">
        <v>6.3200000000000006E-2</v>
      </c>
      <c r="E31" s="17">
        <v>4.9500000000000002E-2</v>
      </c>
      <c r="F31" s="17">
        <v>4.1700000000000001E-2</v>
      </c>
      <c r="G31" s="17">
        <v>5.1499999999999997E-2</v>
      </c>
      <c r="H31" s="17">
        <v>1.38E-2</v>
      </c>
      <c r="I31" s="17">
        <v>3.0499999999999999E-2</v>
      </c>
      <c r="J31" s="17">
        <v>1.95E-2</v>
      </c>
      <c r="K31" s="17">
        <v>5.8799999999999998E-2</v>
      </c>
      <c r="L31" s="17">
        <v>3.2800000000000003E-2</v>
      </c>
      <c r="M31" s="17">
        <v>5.3199999999999997E-2</v>
      </c>
      <c r="N31" s="38">
        <v>4.2999999999999997E-2</v>
      </c>
      <c r="O31" s="73">
        <v>2.88</v>
      </c>
      <c r="P31" s="38">
        <v>4.1999999999999997E-3</v>
      </c>
      <c r="Q31" s="17">
        <v>2.8</v>
      </c>
      <c r="R31" s="17">
        <v>1.54</v>
      </c>
      <c r="S31" s="17">
        <v>0.76800000000000002</v>
      </c>
      <c r="T31" s="17">
        <v>0.62</v>
      </c>
      <c r="U31" s="17">
        <v>20081231</v>
      </c>
      <c r="V31" s="17">
        <v>20190731</v>
      </c>
      <c r="W31" s="17">
        <v>128</v>
      </c>
    </row>
    <row r="32" spans="1:23">
      <c r="A32" s="17" t="s">
        <v>1014</v>
      </c>
      <c r="B32" s="17" t="s">
        <v>2294</v>
      </c>
      <c r="C32" s="17">
        <v>4.4999999999999998E-2</v>
      </c>
      <c r="D32" s="17">
        <v>6.9500000000000006E-2</v>
      </c>
      <c r="E32" s="17">
        <v>4.7899999999999998E-2</v>
      </c>
      <c r="F32" s="17">
        <v>4.8599999999999997E-2</v>
      </c>
      <c r="G32" s="17">
        <v>5.2499999999999998E-2</v>
      </c>
      <c r="H32" s="17">
        <v>1.5599999999999999E-2</v>
      </c>
      <c r="I32" s="17">
        <v>2.8899999999999999E-2</v>
      </c>
      <c r="J32" s="17">
        <v>1.46E-2</v>
      </c>
      <c r="K32" s="17">
        <v>6.3200000000000006E-2</v>
      </c>
      <c r="L32" s="17">
        <v>0.03</v>
      </c>
      <c r="M32" s="17">
        <v>4.8599999999999997E-2</v>
      </c>
      <c r="N32" s="38">
        <v>4.2000000000000003E-2</v>
      </c>
      <c r="O32" s="73">
        <v>2.8</v>
      </c>
      <c r="P32" s="38">
        <v>4.0000000000000001E-3</v>
      </c>
      <c r="Q32" s="17">
        <v>2.65</v>
      </c>
      <c r="R32" s="17">
        <v>1.59</v>
      </c>
      <c r="S32" s="17">
        <v>0.81799999999999995</v>
      </c>
      <c r="T32" s="17">
        <v>0.79</v>
      </c>
      <c r="U32" s="17">
        <v>20081231</v>
      </c>
      <c r="V32" s="17">
        <v>20190731</v>
      </c>
      <c r="W32" s="17">
        <v>128</v>
      </c>
    </row>
    <row r="33" spans="1:23">
      <c r="A33" s="17" t="s">
        <v>1014</v>
      </c>
      <c r="B33" s="17" t="s">
        <v>2276</v>
      </c>
      <c r="C33" s="17">
        <v>5.8200000000000002E-2</v>
      </c>
      <c r="D33" s="17">
        <v>4.87E-2</v>
      </c>
      <c r="E33" s="17">
        <v>4.0800000000000003E-2</v>
      </c>
      <c r="F33" s="17">
        <v>2.3599999999999999E-2</v>
      </c>
      <c r="G33" s="17">
        <v>3.78E-2</v>
      </c>
      <c r="H33" s="17">
        <v>1.1900000000000001E-2</v>
      </c>
      <c r="I33" s="17">
        <v>2.1999999999999999E-2</v>
      </c>
      <c r="J33" s="17">
        <v>1.6899999999999998E-2</v>
      </c>
      <c r="K33" s="17">
        <v>2.92E-2</v>
      </c>
      <c r="L33" s="17">
        <v>3.32E-2</v>
      </c>
      <c r="M33" s="17">
        <v>4.4600000000000001E-2</v>
      </c>
      <c r="N33" s="38">
        <v>3.3000000000000002E-2</v>
      </c>
      <c r="O33" s="73">
        <v>2.31</v>
      </c>
      <c r="P33" s="38">
        <v>3.5000000000000001E-3</v>
      </c>
      <c r="Q33" s="17">
        <v>2.69</v>
      </c>
      <c r="R33" s="17">
        <v>1.21</v>
      </c>
      <c r="S33" s="17">
        <v>0.67</v>
      </c>
      <c r="T33" s="17">
        <v>0.28999999999999998</v>
      </c>
      <c r="U33" s="17">
        <v>20081231</v>
      </c>
      <c r="V33" s="17">
        <v>20190731</v>
      </c>
      <c r="W33" s="17">
        <v>128</v>
      </c>
    </row>
    <row r="34" spans="1:23">
      <c r="A34" s="17" t="s">
        <v>1014</v>
      </c>
      <c r="B34" s="17" t="s">
        <v>2295</v>
      </c>
      <c r="C34" s="17">
        <v>6.1699999999999998E-2</v>
      </c>
      <c r="D34" s="17">
        <v>5.74E-2</v>
      </c>
      <c r="E34" s="17">
        <v>4.6399999999999997E-2</v>
      </c>
      <c r="F34" s="17">
        <v>3.7400000000000003E-2</v>
      </c>
      <c r="G34" s="17">
        <v>4.7500000000000001E-2</v>
      </c>
      <c r="H34" s="17">
        <v>1.5299999999999999E-2</v>
      </c>
      <c r="I34" s="17">
        <v>2.4E-2</v>
      </c>
      <c r="J34" s="17">
        <v>2.29E-2</v>
      </c>
      <c r="K34" s="17">
        <v>4.3499999999999997E-2</v>
      </c>
      <c r="L34" s="17">
        <v>3.9199999999999999E-2</v>
      </c>
      <c r="M34" s="17">
        <v>4.8599999999999997E-2</v>
      </c>
      <c r="N34" s="38">
        <v>0.04</v>
      </c>
      <c r="O34" s="73">
        <v>2.8</v>
      </c>
      <c r="P34" s="38">
        <v>3.8999999999999998E-3</v>
      </c>
      <c r="Q34" s="17">
        <v>2.81</v>
      </c>
      <c r="R34" s="17">
        <v>1.43</v>
      </c>
      <c r="S34" s="17">
        <v>0.73399999999999999</v>
      </c>
      <c r="T34" s="17">
        <v>0.52</v>
      </c>
      <c r="U34" s="17">
        <v>20081231</v>
      </c>
      <c r="V34" s="17">
        <v>20190731</v>
      </c>
      <c r="W34" s="17">
        <v>128</v>
      </c>
    </row>
    <row r="35" spans="1:23">
      <c r="A35" s="17" t="s">
        <v>1014</v>
      </c>
      <c r="B35" s="17" t="s">
        <v>996</v>
      </c>
      <c r="C35" s="17">
        <v>4.6199999999999998E-2</v>
      </c>
      <c r="D35" s="17">
        <v>6.7500000000000004E-2</v>
      </c>
      <c r="E35" s="17">
        <v>4.87E-2</v>
      </c>
      <c r="F35" s="17">
        <v>4.5199999999999997E-2</v>
      </c>
      <c r="G35" s="17">
        <v>5.28E-2</v>
      </c>
      <c r="H35" s="17">
        <v>1.0699999999999999E-2</v>
      </c>
      <c r="I35" s="17">
        <v>3.3300000000000003E-2</v>
      </c>
      <c r="J35" s="17">
        <v>1.66E-2</v>
      </c>
      <c r="K35" s="17">
        <v>6.2300000000000001E-2</v>
      </c>
      <c r="L35" s="17">
        <v>2.75E-2</v>
      </c>
      <c r="M35" s="17">
        <v>4.8599999999999997E-2</v>
      </c>
      <c r="N35" s="38">
        <v>4.2000000000000003E-2</v>
      </c>
      <c r="O35" s="73">
        <v>2.65</v>
      </c>
      <c r="P35" s="38">
        <v>4.1000000000000003E-3</v>
      </c>
      <c r="Q35" s="17">
        <v>2.61</v>
      </c>
      <c r="R35" s="17">
        <v>1.54</v>
      </c>
      <c r="S35" s="17">
        <v>0.80100000000000005</v>
      </c>
      <c r="T35" s="17">
        <v>0.76</v>
      </c>
      <c r="U35" s="17">
        <v>20081231</v>
      </c>
      <c r="V35" s="17">
        <v>20190731</v>
      </c>
      <c r="W35" s="17">
        <v>128</v>
      </c>
    </row>
    <row r="36" spans="1:23">
      <c r="A36" s="17" t="s">
        <v>1014</v>
      </c>
      <c r="B36" s="17" t="s">
        <v>998</v>
      </c>
      <c r="C36" s="17">
        <v>5.6399999999999999E-2</v>
      </c>
      <c r="D36" s="17">
        <v>4.9200000000000001E-2</v>
      </c>
      <c r="E36" s="17">
        <v>3.9300000000000002E-2</v>
      </c>
      <c r="F36" s="17">
        <v>2.41E-2</v>
      </c>
      <c r="G36" s="17">
        <v>3.7900000000000003E-2</v>
      </c>
      <c r="H36" s="17">
        <v>8.9999999999999993E-3</v>
      </c>
      <c r="I36" s="17">
        <v>2.3599999999999999E-2</v>
      </c>
      <c r="J36" s="17">
        <v>1.1900000000000001E-2</v>
      </c>
      <c r="K36" s="17">
        <v>2.7799999999999998E-2</v>
      </c>
      <c r="L36" s="17">
        <v>3.1399999999999997E-2</v>
      </c>
      <c r="M36" s="17">
        <v>4.19E-2</v>
      </c>
      <c r="N36" s="38">
        <v>3.2000000000000001E-2</v>
      </c>
      <c r="O36" s="73">
        <v>2.1800000000000002</v>
      </c>
      <c r="P36" s="38">
        <v>3.5000000000000001E-3</v>
      </c>
      <c r="Q36" s="17">
        <v>2.7</v>
      </c>
      <c r="R36" s="17">
        <v>1.21</v>
      </c>
      <c r="S36" s="17">
        <v>0.67</v>
      </c>
      <c r="T36" s="17">
        <v>0.28999999999999998</v>
      </c>
      <c r="U36" s="17">
        <v>20081231</v>
      </c>
      <c r="V36" s="17">
        <v>20190731</v>
      </c>
      <c r="W36" s="17">
        <v>128</v>
      </c>
    </row>
    <row r="37" spans="1:23">
      <c r="A37" s="17" t="s">
        <v>1014</v>
      </c>
      <c r="B37" s="17" t="s">
        <v>997</v>
      </c>
      <c r="C37" s="17">
        <v>2.1299999999999999E-2</v>
      </c>
      <c r="D37" s="17">
        <v>5.9299999999999999E-2</v>
      </c>
      <c r="E37" s="17">
        <v>3.5000000000000003E-2</v>
      </c>
      <c r="F37" s="17">
        <v>3.56E-2</v>
      </c>
      <c r="G37" s="17">
        <v>5.6000000000000001E-2</v>
      </c>
      <c r="H37" s="17">
        <v>1.46E-2</v>
      </c>
      <c r="I37" s="17">
        <v>8.3000000000000001E-3</v>
      </c>
      <c r="J37" s="17">
        <v>2.41E-2</v>
      </c>
      <c r="K37" s="17">
        <v>5.5599999999999997E-2</v>
      </c>
      <c r="L37" s="17">
        <v>3.2800000000000003E-2</v>
      </c>
      <c r="M37" s="17">
        <v>3.7499999999999999E-2</v>
      </c>
      <c r="N37" s="38">
        <v>3.4000000000000002E-2</v>
      </c>
      <c r="O37" s="73">
        <v>2.69</v>
      </c>
      <c r="P37" s="38">
        <v>3.2000000000000002E-3</v>
      </c>
      <c r="Q37" s="17">
        <v>2.69</v>
      </c>
      <c r="R37" s="17">
        <v>1.1299999999999999</v>
      </c>
      <c r="S37" s="17">
        <v>0.76500000000000001</v>
      </c>
      <c r="T37" s="17">
        <v>0.65</v>
      </c>
      <c r="U37" s="17">
        <v>20081231</v>
      </c>
      <c r="V37" s="17">
        <v>20190731</v>
      </c>
      <c r="W37" s="17">
        <v>128</v>
      </c>
    </row>
  </sheetData>
  <autoFilter ref="A1:W37">
    <sortState ref="A2:W37">
      <sortCondition ref="B17"/>
    </sortState>
  </autoFilter>
  <phoneticPr fontId="5" type="noConversion"/>
  <conditionalFormatting sqref="C2:N37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2:N3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M37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2:O3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2:P3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2:Q3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workbookViewId="0">
      <pane xSplit="1" ySplit="1" topLeftCell="H2" activePane="bottomRight" state="frozenSplit"/>
      <selection pane="topRight" activeCell="B1" sqref="B1"/>
      <selection pane="bottomLeft" activeCell="A2" sqref="A2"/>
      <selection pane="bottomRight" activeCell="Y5" sqref="Y5"/>
    </sheetView>
  </sheetViews>
  <sheetFormatPr defaultRowHeight="14.25"/>
  <cols>
    <col min="1" max="1" width="19.375" bestFit="1" customWidth="1"/>
    <col min="15" max="15" width="9" style="35"/>
    <col min="18" max="18" width="8.375" customWidth="1"/>
  </cols>
  <sheetData>
    <row r="1" spans="1:22">
      <c r="A1" s="17" t="s">
        <v>730</v>
      </c>
      <c r="B1" s="17" t="s">
        <v>999</v>
      </c>
      <c r="C1" s="17" t="s">
        <v>1000</v>
      </c>
      <c r="D1" s="17" t="s">
        <v>1001</v>
      </c>
      <c r="E1" s="17" t="s">
        <v>1002</v>
      </c>
      <c r="F1" s="17" t="s">
        <v>1003</v>
      </c>
      <c r="G1" s="17" t="s">
        <v>1004</v>
      </c>
      <c r="H1" s="17" t="s">
        <v>1005</v>
      </c>
      <c r="I1" s="17" t="s">
        <v>1006</v>
      </c>
      <c r="J1" s="17" t="s">
        <v>1007</v>
      </c>
      <c r="K1" s="17" t="s">
        <v>1008</v>
      </c>
      <c r="L1" s="17" t="s">
        <v>1009</v>
      </c>
      <c r="M1" s="17" t="s">
        <v>969</v>
      </c>
      <c r="N1" s="17" t="s">
        <v>970</v>
      </c>
      <c r="O1" s="17" t="s">
        <v>971</v>
      </c>
      <c r="P1" s="17" t="s">
        <v>972</v>
      </c>
      <c r="Q1" s="17" t="s">
        <v>973</v>
      </c>
      <c r="R1" s="17" t="s">
        <v>974</v>
      </c>
      <c r="S1" s="17" t="s">
        <v>975</v>
      </c>
      <c r="T1" s="17" t="s">
        <v>1010</v>
      </c>
      <c r="U1" s="17" t="s">
        <v>1011</v>
      </c>
      <c r="V1" s="17" t="s">
        <v>1012</v>
      </c>
    </row>
    <row r="2" spans="1:22">
      <c r="A2" s="17" t="s">
        <v>1280</v>
      </c>
      <c r="B2" s="17">
        <v>2.8400000000000002E-2</v>
      </c>
      <c r="C2" s="17">
        <v>3.2500000000000001E-2</v>
      </c>
      <c r="D2" s="17">
        <v>1.77E-2</v>
      </c>
      <c r="E2" s="17">
        <v>3.8300000000000001E-2</v>
      </c>
      <c r="F2" s="17">
        <v>4.7800000000000002E-2</v>
      </c>
      <c r="G2" s="17">
        <v>2.0799999999999999E-2</v>
      </c>
      <c r="H2" s="17">
        <v>9.5999999999999992E-3</v>
      </c>
      <c r="I2" s="17">
        <v>0.02</v>
      </c>
      <c r="J2" s="17">
        <v>4.0899999999999999E-2</v>
      </c>
      <c r="K2" s="17">
        <v>3.8699999999999998E-2</v>
      </c>
      <c r="L2" s="17">
        <v>2.6599999999999999E-2</v>
      </c>
      <c r="M2" s="17">
        <v>2.9000000000000001E-2</v>
      </c>
      <c r="N2" s="17">
        <v>2.82</v>
      </c>
      <c r="O2" s="17">
        <v>2.0999999999999999E-3</v>
      </c>
      <c r="P2" s="17">
        <v>2.16</v>
      </c>
      <c r="Q2" s="17">
        <v>1.06</v>
      </c>
      <c r="R2" s="17">
        <v>0.999</v>
      </c>
      <c r="S2" s="17">
        <v>0.71</v>
      </c>
      <c r="T2" s="17">
        <v>20081231</v>
      </c>
      <c r="U2" s="17">
        <v>20190731</v>
      </c>
      <c r="V2" s="17">
        <v>128</v>
      </c>
    </row>
    <row r="3" spans="1:22">
      <c r="A3" s="17" t="s">
        <v>1281</v>
      </c>
      <c r="B3" s="17">
        <v>2.8500000000000001E-2</v>
      </c>
      <c r="C3" s="17">
        <v>2.9499999999999998E-2</v>
      </c>
      <c r="D3" s="17">
        <v>2.4199999999999999E-2</v>
      </c>
      <c r="E3" s="17">
        <v>4.07E-2</v>
      </c>
      <c r="F3" s="17">
        <v>5.0599999999999999E-2</v>
      </c>
      <c r="G3" s="17">
        <v>2.29E-2</v>
      </c>
      <c r="H3" s="17">
        <v>9.9000000000000008E-3</v>
      </c>
      <c r="I3" s="17">
        <v>2.5499999999999998E-2</v>
      </c>
      <c r="J3" s="17">
        <v>4.2599999999999999E-2</v>
      </c>
      <c r="K3" s="17">
        <v>5.4399999999999997E-2</v>
      </c>
      <c r="L3" s="17">
        <v>3.6499999999999998E-2</v>
      </c>
      <c r="M3" s="17">
        <v>3.3000000000000002E-2</v>
      </c>
      <c r="N3" s="17">
        <v>3.01</v>
      </c>
      <c r="O3" s="17">
        <v>2.5000000000000001E-3</v>
      </c>
      <c r="P3" s="17">
        <v>2.37</v>
      </c>
      <c r="Q3" s="17">
        <v>1.24</v>
      </c>
      <c r="R3" s="17">
        <v>0.999</v>
      </c>
      <c r="S3" s="17">
        <v>0.62</v>
      </c>
      <c r="T3" s="17">
        <v>20081231</v>
      </c>
      <c r="U3" s="17">
        <v>20190731</v>
      </c>
      <c r="V3" s="17">
        <v>128</v>
      </c>
    </row>
    <row r="4" spans="1:22">
      <c r="A4" s="17" t="s">
        <v>1282</v>
      </c>
      <c r="B4" s="17">
        <v>1.2500000000000001E-2</v>
      </c>
      <c r="C4" s="17">
        <v>2.1700000000000001E-2</v>
      </c>
      <c r="D4" s="17">
        <v>2.2700000000000001E-2</v>
      </c>
      <c r="E4" s="17">
        <v>1.9E-3</v>
      </c>
      <c r="F4" s="17">
        <v>3.0499999999999999E-2</v>
      </c>
      <c r="G4" s="17">
        <v>2.1999999999999999E-2</v>
      </c>
      <c r="H4" s="17">
        <v>3.1E-2</v>
      </c>
      <c r="I4" s="17">
        <v>2.0899999999999998E-2</v>
      </c>
      <c r="J4" s="17">
        <v>1.6000000000000001E-3</v>
      </c>
      <c r="K4" s="17">
        <v>2.8199999999999999E-2</v>
      </c>
      <c r="L4" s="17">
        <v>7.7999999999999996E-3</v>
      </c>
      <c r="M4" s="17">
        <v>1.9E-2</v>
      </c>
      <c r="N4" s="17">
        <v>1.8</v>
      </c>
      <c r="O4" s="17">
        <v>1.1000000000000001E-3</v>
      </c>
      <c r="P4" s="17">
        <v>1.18</v>
      </c>
      <c r="Q4" s="17">
        <v>0.53</v>
      </c>
      <c r="R4" s="17">
        <v>0.86099999999999999</v>
      </c>
      <c r="S4" s="17">
        <v>0.92</v>
      </c>
      <c r="T4" s="17">
        <v>20081231</v>
      </c>
      <c r="U4" s="17">
        <v>20190731</v>
      </c>
      <c r="V4" s="17">
        <v>128</v>
      </c>
    </row>
    <row r="5" spans="1:22">
      <c r="A5" s="17" t="s">
        <v>1283</v>
      </c>
      <c r="B5" s="34">
        <v>6.9999999999999999E-4</v>
      </c>
      <c r="C5" s="17">
        <v>3.5900000000000001E-2</v>
      </c>
      <c r="D5" s="17">
        <v>1.4200000000000001E-2</v>
      </c>
      <c r="E5" s="17">
        <v>2.2499999999999999E-2</v>
      </c>
      <c r="F5" s="17">
        <v>-3.5999999999999999E-3</v>
      </c>
      <c r="G5" s="17">
        <v>-1.7100000000000001E-2</v>
      </c>
      <c r="H5" s="17">
        <v>-4.4000000000000003E-3</v>
      </c>
      <c r="I5" s="17">
        <v>-3.6799999999999999E-2</v>
      </c>
      <c r="J5" s="17">
        <v>1.9900000000000001E-2</v>
      </c>
      <c r="K5" s="17">
        <v>-2.12E-2</v>
      </c>
      <c r="L5" s="17">
        <v>1.23E-2</v>
      </c>
      <c r="M5" s="17">
        <v>2E-3</v>
      </c>
      <c r="N5" s="17">
        <v>0.13</v>
      </c>
      <c r="O5" s="34">
        <v>8.9999999999999998E-4</v>
      </c>
      <c r="P5" s="17">
        <v>0.69</v>
      </c>
      <c r="Q5" s="17">
        <v>0.31</v>
      </c>
      <c r="R5" s="17">
        <v>0.85699999999999998</v>
      </c>
      <c r="S5" s="17">
        <v>0.93</v>
      </c>
      <c r="T5" s="17">
        <v>20081231</v>
      </c>
      <c r="U5" s="17">
        <v>20190731</v>
      </c>
      <c r="V5" s="17">
        <v>128</v>
      </c>
    </row>
    <row r="6" spans="1:22">
      <c r="A6" s="17" t="s">
        <v>1284</v>
      </c>
      <c r="B6" s="17">
        <v>1.0800000000000001E-2</v>
      </c>
      <c r="C6" s="17">
        <v>1.7999999999999999E-2</v>
      </c>
      <c r="D6" s="17">
        <v>2.4E-2</v>
      </c>
      <c r="E6" s="17">
        <v>4.0599999999999997E-2</v>
      </c>
      <c r="F6" s="17">
        <v>3.5700000000000003E-2</v>
      </c>
      <c r="G6" s="17">
        <v>-1.43E-2</v>
      </c>
      <c r="H6" s="17">
        <v>2.52E-2</v>
      </c>
      <c r="I6" s="17">
        <v>-2.6700000000000002E-2</v>
      </c>
      <c r="J6" s="17">
        <v>2.7099999999999999E-2</v>
      </c>
      <c r="K6" s="17">
        <v>-6.4000000000000003E-3</v>
      </c>
      <c r="L6" s="17">
        <v>1.8200000000000001E-2</v>
      </c>
      <c r="M6" s="17">
        <v>1.4E-2</v>
      </c>
      <c r="N6" s="17">
        <v>0.92</v>
      </c>
      <c r="O6" s="17">
        <v>1.5E-3</v>
      </c>
      <c r="P6" s="17">
        <v>1.01</v>
      </c>
      <c r="Q6" s="17">
        <v>0.59</v>
      </c>
      <c r="R6" s="17">
        <v>0.98899999999999999</v>
      </c>
      <c r="S6" s="17">
        <v>0.87</v>
      </c>
      <c r="T6" s="17">
        <v>20081231</v>
      </c>
      <c r="U6" s="17">
        <v>20190731</v>
      </c>
      <c r="V6" s="17">
        <v>128</v>
      </c>
    </row>
    <row r="7" spans="1:22">
      <c r="A7" s="17" t="s">
        <v>1285</v>
      </c>
      <c r="B7" s="17">
        <v>-3.0000000000000001E-3</v>
      </c>
      <c r="C7" s="17">
        <v>3.2899999999999999E-2</v>
      </c>
      <c r="D7" s="17">
        <v>2.4500000000000001E-2</v>
      </c>
      <c r="E7" s="17">
        <v>2.1399999999999999E-2</v>
      </c>
      <c r="F7" s="17">
        <v>4.0300000000000002E-2</v>
      </c>
      <c r="G7" s="17">
        <v>-2.3800000000000002E-2</v>
      </c>
      <c r="H7" s="17">
        <v>2.5399999999999999E-2</v>
      </c>
      <c r="I7" s="17">
        <v>-1.7600000000000001E-2</v>
      </c>
      <c r="J7" s="17">
        <v>3.09E-2</v>
      </c>
      <c r="K7" s="17">
        <v>4.7999999999999996E-3</v>
      </c>
      <c r="L7" s="17">
        <v>1.06E-2</v>
      </c>
      <c r="M7" s="17">
        <v>1.2999999999999999E-2</v>
      </c>
      <c r="N7" s="17">
        <v>0.88</v>
      </c>
      <c r="O7" s="17">
        <v>1.4E-3</v>
      </c>
      <c r="P7" s="17">
        <v>0.88</v>
      </c>
      <c r="Q7" s="17">
        <v>0.62</v>
      </c>
      <c r="R7" s="17">
        <v>0.99399999999999999</v>
      </c>
      <c r="S7" s="17">
        <v>0.9</v>
      </c>
      <c r="T7" s="17">
        <v>20081231</v>
      </c>
      <c r="U7" s="17">
        <v>20190731</v>
      </c>
      <c r="V7" s="17">
        <v>128</v>
      </c>
    </row>
    <row r="8" spans="1:22">
      <c r="A8" s="17" t="s">
        <v>1286</v>
      </c>
      <c r="B8" s="17">
        <v>2.3099999999999999E-2</v>
      </c>
      <c r="C8" s="17">
        <v>6.25E-2</v>
      </c>
      <c r="D8" s="17">
        <v>3.2099999999999997E-2</v>
      </c>
      <c r="E8" s="17">
        <v>4.5100000000000001E-2</v>
      </c>
      <c r="F8" s="17">
        <v>1.52E-2</v>
      </c>
      <c r="G8" s="17">
        <v>1.6899999999999998E-2</v>
      </c>
      <c r="H8" s="17">
        <v>3.4799999999999998E-2</v>
      </c>
      <c r="I8" s="17">
        <v>1.5100000000000001E-2</v>
      </c>
      <c r="J8" s="17">
        <v>5.4899999999999997E-2</v>
      </c>
      <c r="K8" s="17">
        <v>-9.2999999999999992E-3</v>
      </c>
      <c r="L8" s="17">
        <v>2.2200000000000001E-2</v>
      </c>
      <c r="M8" s="17">
        <v>2.9000000000000001E-2</v>
      </c>
      <c r="N8" s="17">
        <v>1.9</v>
      </c>
      <c r="O8" s="17">
        <v>2.8E-3</v>
      </c>
      <c r="P8" s="17">
        <v>1.74</v>
      </c>
      <c r="Q8" s="17">
        <v>0.97</v>
      </c>
      <c r="R8" s="17">
        <v>0.82699999999999996</v>
      </c>
      <c r="S8" s="17">
        <v>0.91</v>
      </c>
      <c r="T8" s="17">
        <v>20081231</v>
      </c>
      <c r="U8" s="17">
        <v>20190731</v>
      </c>
      <c r="V8" s="17">
        <v>128</v>
      </c>
    </row>
    <row r="9" spans="1:22">
      <c r="A9" s="17" t="s">
        <v>1287</v>
      </c>
      <c r="B9" s="17">
        <v>4.0599999999999997E-2</v>
      </c>
      <c r="C9" s="17">
        <v>5.9499999999999997E-2</v>
      </c>
      <c r="D9" s="17">
        <v>3.6200000000000003E-2</v>
      </c>
      <c r="E9" s="17">
        <v>3.9800000000000002E-2</v>
      </c>
      <c r="F9" s="17">
        <v>5.5199999999999999E-2</v>
      </c>
      <c r="G9" s="17">
        <v>2.5000000000000001E-3</v>
      </c>
      <c r="H9" s="17">
        <v>4.58E-2</v>
      </c>
      <c r="I9" s="17">
        <v>3.09E-2</v>
      </c>
      <c r="J9" s="17">
        <v>4.7199999999999999E-2</v>
      </c>
      <c r="K9" s="17">
        <v>4.24E-2</v>
      </c>
      <c r="L9" s="17">
        <v>2.52E-2</v>
      </c>
      <c r="M9" s="17">
        <v>3.9E-2</v>
      </c>
      <c r="N9" s="17">
        <v>2.35</v>
      </c>
      <c r="O9" s="17">
        <v>2E-3</v>
      </c>
      <c r="P9" s="17">
        <v>1.44</v>
      </c>
      <c r="Q9" s="17">
        <v>0.93</v>
      </c>
      <c r="R9" s="17">
        <v>0.999</v>
      </c>
      <c r="S9" s="17">
        <v>0.73</v>
      </c>
      <c r="T9" s="17">
        <v>20081231</v>
      </c>
      <c r="U9" s="17">
        <v>20190731</v>
      </c>
      <c r="V9" s="17">
        <v>128</v>
      </c>
    </row>
    <row r="10" spans="1:22">
      <c r="A10" s="17" t="s">
        <v>1288</v>
      </c>
      <c r="B10" s="17">
        <v>1.5699999999999999E-2</v>
      </c>
      <c r="C10" s="17">
        <v>3.1099999999999999E-2</v>
      </c>
      <c r="D10" s="17">
        <v>1.9699999999999999E-2</v>
      </c>
      <c r="E10" s="17">
        <v>2.1499999999999998E-2</v>
      </c>
      <c r="F10" s="17">
        <v>2.5399999999999999E-2</v>
      </c>
      <c r="G10" s="17">
        <v>3.6299999999999999E-2</v>
      </c>
      <c r="H10" s="17">
        <v>4.2799999999999998E-2</v>
      </c>
      <c r="I10" s="17">
        <v>2.7099999999999999E-2</v>
      </c>
      <c r="J10" s="17">
        <v>1.9099999999999999E-2</v>
      </c>
      <c r="K10" s="17">
        <v>5.8999999999999999E-3</v>
      </c>
      <c r="L10" s="17">
        <v>1.1599999999999999E-2</v>
      </c>
      <c r="M10" s="17">
        <v>2.4E-2</v>
      </c>
      <c r="N10" s="17">
        <v>2.31</v>
      </c>
      <c r="O10" s="17">
        <v>1.6999999999999999E-3</v>
      </c>
      <c r="P10" s="17">
        <v>1.54</v>
      </c>
      <c r="Q10" s="17">
        <v>0.73</v>
      </c>
      <c r="R10" s="17">
        <v>0.996</v>
      </c>
      <c r="S10" s="17">
        <v>0.92</v>
      </c>
      <c r="T10" s="17">
        <v>20081231</v>
      </c>
      <c r="U10" s="17">
        <v>20190731</v>
      </c>
      <c r="V10" s="17">
        <v>128</v>
      </c>
    </row>
    <row r="11" spans="1:22">
      <c r="A11" s="17" t="s">
        <v>1289</v>
      </c>
      <c r="B11" s="17">
        <v>5.2600000000000001E-2</v>
      </c>
      <c r="C11" s="17">
        <v>2.3599999999999999E-2</v>
      </c>
      <c r="D11" s="17">
        <v>7.4999999999999997E-3</v>
      </c>
      <c r="E11" s="17">
        <v>8.3000000000000001E-3</v>
      </c>
      <c r="F11" s="17">
        <v>3.0800000000000001E-2</v>
      </c>
      <c r="G11" s="17">
        <v>1.37E-2</v>
      </c>
      <c r="H11" s="17">
        <v>3.04E-2</v>
      </c>
      <c r="I11" s="17">
        <v>3.1600000000000003E-2</v>
      </c>
      <c r="J11" s="17">
        <v>1.8100000000000002E-2</v>
      </c>
      <c r="K11" s="17">
        <v>1.9900000000000001E-2</v>
      </c>
      <c r="L11" s="17">
        <v>3.3E-3</v>
      </c>
      <c r="M11" s="17">
        <v>2.1999999999999999E-2</v>
      </c>
      <c r="N11" s="17">
        <v>1.23</v>
      </c>
      <c r="O11" s="34">
        <v>8.9999999999999998E-4</v>
      </c>
      <c r="P11" s="17">
        <v>1.18</v>
      </c>
      <c r="Q11" s="17">
        <v>0.47</v>
      </c>
      <c r="R11" s="17">
        <v>0.92200000000000004</v>
      </c>
      <c r="S11" s="17">
        <v>0.86</v>
      </c>
      <c r="T11" s="17">
        <v>20081231</v>
      </c>
      <c r="U11" s="17">
        <v>20190731</v>
      </c>
      <c r="V11" s="17">
        <v>128</v>
      </c>
    </row>
    <row r="12" spans="1:22">
      <c r="A12" s="17" t="s">
        <v>1290</v>
      </c>
      <c r="B12" s="17">
        <v>-2.3E-3</v>
      </c>
      <c r="C12" s="17">
        <v>5.0000000000000001E-3</v>
      </c>
      <c r="D12" s="17">
        <v>4.07E-2</v>
      </c>
      <c r="E12" s="17">
        <v>3.0099999999999998E-2</v>
      </c>
      <c r="F12" s="17">
        <v>3.0599999999999999E-2</v>
      </c>
      <c r="G12" s="17">
        <v>1.1000000000000001E-3</v>
      </c>
      <c r="H12" s="17">
        <v>3.3099999999999997E-2</v>
      </c>
      <c r="I12" s="17">
        <v>1.41E-2</v>
      </c>
      <c r="J12" s="17">
        <v>3.0099999999999998E-2</v>
      </c>
      <c r="K12" s="17">
        <v>1.1000000000000001E-3</v>
      </c>
      <c r="L12" s="17">
        <v>2.2499999999999999E-2</v>
      </c>
      <c r="M12" s="17">
        <v>1.9E-2</v>
      </c>
      <c r="N12" s="17">
        <v>1.28</v>
      </c>
      <c r="O12" s="17">
        <v>1.2999999999999999E-3</v>
      </c>
      <c r="P12" s="17">
        <v>0.99</v>
      </c>
      <c r="Q12" s="17">
        <v>0.6</v>
      </c>
      <c r="R12" s="17">
        <v>0.999</v>
      </c>
      <c r="S12" s="17">
        <v>0.89</v>
      </c>
      <c r="T12" s="17">
        <v>20081231</v>
      </c>
      <c r="U12" s="17">
        <v>20190731</v>
      </c>
      <c r="V12" s="17">
        <v>128</v>
      </c>
    </row>
    <row r="13" spans="1:22">
      <c r="A13" s="17" t="s">
        <v>1291</v>
      </c>
      <c r="B13" s="17">
        <v>2.6599999999999999E-2</v>
      </c>
      <c r="C13" s="17">
        <v>6.7000000000000004E-2</v>
      </c>
      <c r="D13" s="17">
        <v>4.3900000000000002E-2</v>
      </c>
      <c r="E13" s="17">
        <v>4.4900000000000002E-2</v>
      </c>
      <c r="F13" s="17">
        <v>4.8099999999999997E-2</v>
      </c>
      <c r="G13" s="17">
        <v>2.6100000000000002E-2</v>
      </c>
      <c r="H13" s="17">
        <v>4.8899999999999999E-2</v>
      </c>
      <c r="I13" s="17">
        <v>2.93E-2</v>
      </c>
      <c r="J13" s="17">
        <v>7.46E-2</v>
      </c>
      <c r="K13" s="17">
        <v>4.1099999999999998E-2</v>
      </c>
      <c r="L13" s="17">
        <v>3.5499999999999997E-2</v>
      </c>
      <c r="M13" s="17">
        <v>4.3999999999999997E-2</v>
      </c>
      <c r="N13" s="17">
        <v>2.89</v>
      </c>
      <c r="O13" s="17">
        <v>2.8999999999999998E-3</v>
      </c>
      <c r="P13" s="17">
        <v>1.8</v>
      </c>
      <c r="Q13" s="17">
        <v>1.4</v>
      </c>
      <c r="R13" s="17">
        <v>0.999</v>
      </c>
      <c r="S13" s="17">
        <v>0.77</v>
      </c>
      <c r="T13" s="17">
        <v>20081231</v>
      </c>
      <c r="U13" s="17">
        <v>20190731</v>
      </c>
      <c r="V13" s="17">
        <v>128</v>
      </c>
    </row>
    <row r="14" spans="1:22">
      <c r="A14" s="17" t="s">
        <v>1292</v>
      </c>
      <c r="B14" s="17">
        <v>2.4500000000000001E-2</v>
      </c>
      <c r="C14" s="17">
        <v>5.5899999999999998E-2</v>
      </c>
      <c r="D14" s="17">
        <v>4.0500000000000001E-2</v>
      </c>
      <c r="E14" s="17">
        <v>4.9500000000000002E-2</v>
      </c>
      <c r="F14" s="17">
        <v>4.65E-2</v>
      </c>
      <c r="G14" s="17">
        <v>1.3599999999999999E-2</v>
      </c>
      <c r="H14" s="17">
        <v>4.02E-2</v>
      </c>
      <c r="I14" s="17">
        <v>2.4899999999999999E-2</v>
      </c>
      <c r="J14" s="17">
        <v>4.0800000000000003E-2</v>
      </c>
      <c r="K14" s="17">
        <v>3.0300000000000001E-2</v>
      </c>
      <c r="L14" s="17">
        <v>2.7099999999999999E-2</v>
      </c>
      <c r="M14" s="17">
        <v>3.5999999999999997E-2</v>
      </c>
      <c r="N14" s="17">
        <v>2.56</v>
      </c>
      <c r="O14" s="17">
        <v>2.3E-3</v>
      </c>
      <c r="P14" s="17">
        <v>1.69</v>
      </c>
      <c r="Q14" s="17">
        <v>1.1100000000000001</v>
      </c>
      <c r="R14" s="17">
        <v>0.99199999999999999</v>
      </c>
      <c r="S14" s="17">
        <v>0.77</v>
      </c>
      <c r="T14" s="17">
        <v>20081231</v>
      </c>
      <c r="U14" s="17">
        <v>20190731</v>
      </c>
      <c r="V14" s="17">
        <v>128</v>
      </c>
    </row>
    <row r="15" spans="1:22">
      <c r="A15" s="17" t="s">
        <v>1293</v>
      </c>
      <c r="B15" s="17">
        <v>8.2000000000000007E-3</v>
      </c>
      <c r="C15" s="17">
        <v>2.5700000000000001E-2</v>
      </c>
      <c r="D15" s="17">
        <v>4.6300000000000001E-2</v>
      </c>
      <c r="E15" s="17">
        <v>3.9199999999999999E-2</v>
      </c>
      <c r="F15" s="17">
        <v>4.7E-2</v>
      </c>
      <c r="G15" s="17">
        <v>2.2599999999999999E-2</v>
      </c>
      <c r="H15" s="17">
        <v>4.4400000000000002E-2</v>
      </c>
      <c r="I15" s="17">
        <v>2.0799999999999999E-2</v>
      </c>
      <c r="J15" s="17">
        <v>4.7300000000000002E-2</v>
      </c>
      <c r="K15" s="17">
        <v>3.61E-2</v>
      </c>
      <c r="L15" s="17">
        <v>3.1399999999999997E-2</v>
      </c>
      <c r="M15" s="17">
        <v>3.4000000000000002E-2</v>
      </c>
      <c r="N15" s="17">
        <v>2.88</v>
      </c>
      <c r="O15" s="17">
        <v>2.3E-3</v>
      </c>
      <c r="P15" s="17">
        <v>1.89</v>
      </c>
      <c r="Q15" s="17">
        <v>1.1200000000000001</v>
      </c>
      <c r="R15" s="17">
        <v>0.999</v>
      </c>
      <c r="S15" s="17">
        <v>0.84</v>
      </c>
      <c r="T15" s="17">
        <v>20081231</v>
      </c>
      <c r="U15" s="17">
        <v>20190731</v>
      </c>
      <c r="V15" s="17">
        <v>128</v>
      </c>
    </row>
    <row r="16" spans="1:22">
      <c r="A16" s="17" t="s">
        <v>1294</v>
      </c>
      <c r="B16" s="17">
        <v>5.4000000000000003E-3</v>
      </c>
      <c r="C16" s="17">
        <v>1.9400000000000001E-2</v>
      </c>
      <c r="D16" s="17">
        <v>3.5700000000000003E-2</v>
      </c>
      <c r="E16" s="17">
        <v>3.3099999999999997E-2</v>
      </c>
      <c r="F16" s="17">
        <v>4.2500000000000003E-2</v>
      </c>
      <c r="G16" s="17">
        <v>2.1000000000000001E-2</v>
      </c>
      <c r="H16" s="17">
        <v>4.4299999999999999E-2</v>
      </c>
      <c r="I16" s="17">
        <v>1.0699999999999999E-2</v>
      </c>
      <c r="J16" s="17">
        <v>3.5400000000000001E-2</v>
      </c>
      <c r="K16" s="17">
        <v>2.3300000000000001E-2</v>
      </c>
      <c r="L16" s="17">
        <v>3.2199999999999999E-2</v>
      </c>
      <c r="M16" s="17">
        <v>2.7E-2</v>
      </c>
      <c r="N16" s="17">
        <v>2.2799999999999998</v>
      </c>
      <c r="O16" s="17">
        <v>1.6999999999999999E-3</v>
      </c>
      <c r="P16" s="17">
        <v>1.29</v>
      </c>
      <c r="Q16" s="17">
        <v>0.8</v>
      </c>
      <c r="R16" s="17">
        <v>0.999</v>
      </c>
      <c r="S16" s="17">
        <v>0.89</v>
      </c>
      <c r="T16" s="17">
        <v>20081231</v>
      </c>
      <c r="U16" s="17">
        <v>20190731</v>
      </c>
      <c r="V16" s="17">
        <v>128</v>
      </c>
    </row>
    <row r="17" spans="1:22">
      <c r="A17" s="17" t="s">
        <v>1295</v>
      </c>
      <c r="B17" s="17">
        <v>9.7000000000000003E-3</v>
      </c>
      <c r="C17" s="17">
        <v>1.0800000000000001E-2</v>
      </c>
      <c r="D17" s="17">
        <v>8.2000000000000007E-3</v>
      </c>
      <c r="E17" s="17">
        <v>6.1000000000000004E-3</v>
      </c>
      <c r="F17" s="17">
        <v>1.1900000000000001E-2</v>
      </c>
      <c r="G17" s="17">
        <v>4.5999999999999999E-3</v>
      </c>
      <c r="H17" s="17">
        <v>2.3199999999999998E-2</v>
      </c>
      <c r="I17" s="17">
        <v>7.1999999999999998E-3</v>
      </c>
      <c r="J17" s="17">
        <v>2.5499999999999998E-2</v>
      </c>
      <c r="K17" s="17">
        <v>3.5099999999999999E-2</v>
      </c>
      <c r="L17" s="17">
        <v>1.18E-2</v>
      </c>
      <c r="M17" s="17">
        <v>1.4E-2</v>
      </c>
      <c r="N17" s="17">
        <v>1.58</v>
      </c>
      <c r="O17" s="17">
        <v>1.1000000000000001E-3</v>
      </c>
      <c r="P17" s="17">
        <v>1.45</v>
      </c>
      <c r="Q17" s="17">
        <v>0.51</v>
      </c>
      <c r="R17" s="17">
        <v>0.999</v>
      </c>
      <c r="S17" s="17">
        <v>0.6</v>
      </c>
      <c r="T17" s="17">
        <v>20081231</v>
      </c>
      <c r="U17" s="17">
        <v>20190731</v>
      </c>
      <c r="V17" s="17">
        <v>128</v>
      </c>
    </row>
    <row r="18" spans="1:22">
      <c r="A18" s="17" t="s">
        <v>1296</v>
      </c>
      <c r="B18" s="17">
        <v>-3.0300000000000001E-2</v>
      </c>
      <c r="C18" s="17">
        <v>-1.2800000000000001E-2</v>
      </c>
      <c r="D18" s="17">
        <v>1.5E-3</v>
      </c>
      <c r="E18" s="17">
        <v>4.1000000000000003E-3</v>
      </c>
      <c r="F18" s="17">
        <v>-2.0999999999999999E-3</v>
      </c>
      <c r="G18" s="17">
        <v>-2.6499999999999999E-2</v>
      </c>
      <c r="H18" s="17">
        <v>-1.6299999999999999E-2</v>
      </c>
      <c r="I18" s="17">
        <v>-2.9499999999999998E-2</v>
      </c>
      <c r="J18" s="17">
        <v>-2.3999999999999998E-3</v>
      </c>
      <c r="K18" s="17">
        <v>-1.15E-2</v>
      </c>
      <c r="L18" s="17">
        <v>2.76E-2</v>
      </c>
      <c r="M18" s="17">
        <v>-0.01</v>
      </c>
      <c r="N18" s="17">
        <v>-0.68</v>
      </c>
      <c r="O18" s="34">
        <v>-5.9999999999999995E-4</v>
      </c>
      <c r="P18" s="17">
        <v>-0.41</v>
      </c>
      <c r="Q18" s="17">
        <v>-0.2</v>
      </c>
      <c r="R18" s="17">
        <v>0.78</v>
      </c>
      <c r="S18" s="17">
        <v>0.84</v>
      </c>
      <c r="T18" s="17">
        <v>20081231</v>
      </c>
      <c r="U18" s="17">
        <v>20190731</v>
      </c>
      <c r="V18" s="17">
        <v>128</v>
      </c>
    </row>
    <row r="19" spans="1:22">
      <c r="A19" s="17" t="s">
        <v>1297</v>
      </c>
      <c r="B19" s="17">
        <v>-3.8E-3</v>
      </c>
      <c r="C19" s="17">
        <v>9.4000000000000004E-3</v>
      </c>
      <c r="D19" s="17">
        <v>-1.01E-2</v>
      </c>
      <c r="E19" s="17">
        <v>1.61E-2</v>
      </c>
      <c r="F19" s="17">
        <v>1.3299999999999999E-2</v>
      </c>
      <c r="G19" s="17">
        <v>-7.6E-3</v>
      </c>
      <c r="H19" s="17">
        <v>1.29E-2</v>
      </c>
      <c r="I19" s="17">
        <v>6.1999999999999998E-3</v>
      </c>
      <c r="J19" s="17">
        <v>1.5699999999999999E-2</v>
      </c>
      <c r="K19" s="17">
        <v>-2.8999999999999998E-3</v>
      </c>
      <c r="L19" s="17">
        <v>-2.8999999999999998E-3</v>
      </c>
      <c r="M19" s="17">
        <v>4.0000000000000001E-3</v>
      </c>
      <c r="N19" s="17">
        <v>0.44</v>
      </c>
      <c r="O19" s="34">
        <v>2.0000000000000001E-4</v>
      </c>
      <c r="P19" s="17">
        <v>0.18</v>
      </c>
      <c r="Q19" s="17">
        <v>0.09</v>
      </c>
      <c r="R19" s="17">
        <v>0.998</v>
      </c>
      <c r="S19" s="17">
        <v>0.93</v>
      </c>
      <c r="T19" s="17">
        <v>20081231</v>
      </c>
      <c r="U19" s="17">
        <v>20190731</v>
      </c>
      <c r="V19" s="17">
        <v>128</v>
      </c>
    </row>
    <row r="20" spans="1:22">
      <c r="A20" s="17" t="s">
        <v>731</v>
      </c>
      <c r="B20" s="17">
        <v>-9.4000000000000004E-3</v>
      </c>
      <c r="C20" s="17">
        <v>8.3999999999999995E-3</v>
      </c>
      <c r="D20" s="17">
        <v>9.5999999999999992E-3</v>
      </c>
      <c r="E20" s="17">
        <v>1.0200000000000001E-2</v>
      </c>
      <c r="F20" s="17">
        <v>3.5999999999999999E-3</v>
      </c>
      <c r="G20" s="17">
        <v>-1.0500000000000001E-2</v>
      </c>
      <c r="H20" s="17">
        <v>8.3999999999999995E-3</v>
      </c>
      <c r="I20" s="17">
        <v>1.95E-2</v>
      </c>
      <c r="J20" s="17">
        <v>1.4999999999999999E-2</v>
      </c>
      <c r="K20" s="17">
        <v>-5.7999999999999996E-3</v>
      </c>
      <c r="L20" s="17">
        <v>-1.24E-2</v>
      </c>
      <c r="M20" s="17">
        <v>4.0000000000000001E-3</v>
      </c>
      <c r="N20" s="17">
        <v>0.35</v>
      </c>
      <c r="O20" s="34">
        <v>1E-4</v>
      </c>
      <c r="P20" s="17">
        <v>7.0000000000000007E-2</v>
      </c>
      <c r="Q20" s="17">
        <v>0.05</v>
      </c>
      <c r="R20" s="17">
        <v>0.998</v>
      </c>
      <c r="S20" s="17">
        <v>0.96</v>
      </c>
      <c r="T20" s="17">
        <v>20081231</v>
      </c>
      <c r="U20" s="17">
        <v>20190731</v>
      </c>
      <c r="V20" s="17">
        <v>128</v>
      </c>
    </row>
    <row r="21" spans="1:22">
      <c r="A21" s="17" t="s">
        <v>1298</v>
      </c>
      <c r="B21" s="17">
        <v>-6.1000000000000004E-3</v>
      </c>
      <c r="C21" s="17">
        <v>2.87E-2</v>
      </c>
      <c r="D21" s="17">
        <v>2.3199999999999998E-2</v>
      </c>
      <c r="E21" s="17">
        <v>2.01E-2</v>
      </c>
      <c r="F21" s="17">
        <v>2.6100000000000002E-2</v>
      </c>
      <c r="G21" s="17">
        <v>8.2000000000000007E-3</v>
      </c>
      <c r="H21" s="17">
        <v>0.02</v>
      </c>
      <c r="I21" s="17">
        <v>1.2E-2</v>
      </c>
      <c r="J21" s="17">
        <v>4.02E-2</v>
      </c>
      <c r="K21" s="17">
        <v>8.6E-3</v>
      </c>
      <c r="L21" s="17">
        <v>1.95E-2</v>
      </c>
      <c r="M21" s="17">
        <v>1.7999999999999999E-2</v>
      </c>
      <c r="N21" s="17">
        <v>1.52</v>
      </c>
      <c r="O21" s="17">
        <v>1.2999999999999999E-3</v>
      </c>
      <c r="P21" s="17">
        <v>0.99</v>
      </c>
      <c r="Q21" s="17">
        <v>0.65</v>
      </c>
      <c r="R21" s="17">
        <v>0.97599999999999998</v>
      </c>
      <c r="S21" s="17">
        <v>0.91</v>
      </c>
      <c r="T21" s="17">
        <v>20081231</v>
      </c>
      <c r="U21" s="17">
        <v>20190731</v>
      </c>
      <c r="V21" s="17">
        <v>128</v>
      </c>
    </row>
    <row r="22" spans="1:22">
      <c r="A22" s="17" t="s">
        <v>1299</v>
      </c>
      <c r="B22" s="17">
        <v>2.23E-2</v>
      </c>
      <c r="C22" s="17">
        <v>5.2400000000000002E-2</v>
      </c>
      <c r="D22" s="17">
        <v>3.8600000000000002E-2</v>
      </c>
      <c r="E22" s="17">
        <v>4.4499999999999998E-2</v>
      </c>
      <c r="F22" s="17">
        <v>4.5400000000000003E-2</v>
      </c>
      <c r="G22" s="17">
        <v>2.18E-2</v>
      </c>
      <c r="H22" s="17">
        <v>2.75E-2</v>
      </c>
      <c r="I22" s="17">
        <v>2.6599999999999999E-2</v>
      </c>
      <c r="J22" s="17">
        <v>5.4899999999999997E-2</v>
      </c>
      <c r="K22" s="17">
        <v>3.4099999999999998E-2</v>
      </c>
      <c r="L22" s="17">
        <v>3.4299999999999997E-2</v>
      </c>
      <c r="M22" s="17">
        <v>3.6999999999999998E-2</v>
      </c>
      <c r="N22" s="17">
        <v>2.71</v>
      </c>
      <c r="O22" s="17">
        <v>2.8E-3</v>
      </c>
      <c r="P22" s="17">
        <v>2.08</v>
      </c>
      <c r="Q22" s="17">
        <v>1.28</v>
      </c>
      <c r="R22" s="17">
        <v>0.97699999999999998</v>
      </c>
      <c r="S22" s="17">
        <v>0.79</v>
      </c>
      <c r="T22" s="17">
        <v>20081231</v>
      </c>
      <c r="U22" s="17">
        <v>20190731</v>
      </c>
      <c r="V22" s="17">
        <v>128</v>
      </c>
    </row>
    <row r="23" spans="1:22">
      <c r="A23" s="17" t="s">
        <v>1300</v>
      </c>
      <c r="B23" s="17">
        <v>-5.0000000000000001E-3</v>
      </c>
      <c r="C23" s="17">
        <v>2.3800000000000002E-2</v>
      </c>
      <c r="D23" s="17">
        <v>1.8700000000000001E-2</v>
      </c>
      <c r="E23" s="17">
        <v>2.5899999999999999E-2</v>
      </c>
      <c r="F23" s="17">
        <v>9.7000000000000003E-3</v>
      </c>
      <c r="G23" s="17">
        <v>1.04E-2</v>
      </c>
      <c r="H23" s="17">
        <v>1.41E-2</v>
      </c>
      <c r="I23" s="17">
        <v>1.3899999999999999E-2</v>
      </c>
      <c r="J23" s="17">
        <v>2.1299999999999999E-2</v>
      </c>
      <c r="K23" s="17">
        <v>5.4999999999999997E-3</v>
      </c>
      <c r="L23" s="17">
        <v>2.3300000000000001E-2</v>
      </c>
      <c r="M23" s="17">
        <v>1.4E-2</v>
      </c>
      <c r="N23" s="17">
        <v>1.77</v>
      </c>
      <c r="O23" s="17">
        <v>1.5E-3</v>
      </c>
      <c r="P23" s="17">
        <v>1.78</v>
      </c>
      <c r="Q23" s="17">
        <v>0.7</v>
      </c>
      <c r="R23" s="17">
        <v>0.97899999999999998</v>
      </c>
      <c r="S23" s="17">
        <v>0.77</v>
      </c>
      <c r="T23" s="17">
        <v>20081231</v>
      </c>
      <c r="U23" s="17">
        <v>20190731</v>
      </c>
      <c r="V23" s="17">
        <v>128</v>
      </c>
    </row>
    <row r="24" spans="1:22">
      <c r="A24" s="17" t="s">
        <v>1301</v>
      </c>
      <c r="B24" s="17">
        <v>2.3999999999999998E-3</v>
      </c>
      <c r="C24" s="17">
        <v>2.2599999999999999E-2</v>
      </c>
      <c r="D24" s="17">
        <v>7.7999999999999996E-3</v>
      </c>
      <c r="E24" s="17">
        <v>6.0000000000000001E-3</v>
      </c>
      <c r="F24" s="17">
        <v>3.0300000000000001E-2</v>
      </c>
      <c r="G24" s="17">
        <v>2.5000000000000001E-3</v>
      </c>
      <c r="H24" s="17">
        <v>-1.6799999999999999E-2</v>
      </c>
      <c r="I24" s="17">
        <v>1.17E-2</v>
      </c>
      <c r="J24" s="17">
        <v>1.77E-2</v>
      </c>
      <c r="K24" s="17">
        <v>2.6200000000000001E-2</v>
      </c>
      <c r="L24" s="17">
        <v>3.7400000000000003E-2</v>
      </c>
      <c r="M24" s="17">
        <v>1.2999999999999999E-2</v>
      </c>
      <c r="N24" s="17">
        <v>1.02</v>
      </c>
      <c r="O24" s="17">
        <v>1E-3</v>
      </c>
      <c r="P24" s="17">
        <v>0.82</v>
      </c>
      <c r="Q24" s="17">
        <v>0.56000000000000005</v>
      </c>
      <c r="R24" s="17">
        <v>0.997</v>
      </c>
      <c r="S24" s="17">
        <v>0.71</v>
      </c>
      <c r="T24" s="17">
        <v>20081231</v>
      </c>
      <c r="U24" s="17">
        <v>20190731</v>
      </c>
      <c r="V24" s="17">
        <v>128</v>
      </c>
    </row>
    <row r="25" spans="1:22">
      <c r="A25" s="17" t="s">
        <v>1302</v>
      </c>
      <c r="B25" s="34">
        <v>-5.9999999999999995E-4</v>
      </c>
      <c r="C25" s="17">
        <v>2.3E-2</v>
      </c>
      <c r="D25" s="17">
        <v>1.35E-2</v>
      </c>
      <c r="E25" s="17">
        <v>6.1999999999999998E-3</v>
      </c>
      <c r="F25" s="17">
        <v>3.09E-2</v>
      </c>
      <c r="G25" s="17">
        <v>5.3E-3</v>
      </c>
      <c r="H25" s="17">
        <v>-1.72E-2</v>
      </c>
      <c r="I25" s="17">
        <v>1.66E-2</v>
      </c>
      <c r="J25" s="17">
        <v>2.0299999999999999E-2</v>
      </c>
      <c r="K25" s="17">
        <v>2.2499999999999999E-2</v>
      </c>
      <c r="L25" s="17">
        <v>4.2200000000000001E-2</v>
      </c>
      <c r="M25" s="17">
        <v>1.4E-2</v>
      </c>
      <c r="N25" s="17">
        <v>1.03</v>
      </c>
      <c r="O25" s="17">
        <v>1.1000000000000001E-3</v>
      </c>
      <c r="P25" s="17">
        <v>0.8</v>
      </c>
      <c r="Q25" s="17">
        <v>0.61</v>
      </c>
      <c r="R25" s="17">
        <v>0.997</v>
      </c>
      <c r="S25" s="17">
        <v>0.71</v>
      </c>
      <c r="T25" s="17">
        <v>20081231</v>
      </c>
      <c r="U25" s="17">
        <v>20190731</v>
      </c>
      <c r="V25" s="17">
        <v>128</v>
      </c>
    </row>
    <row r="26" spans="1:22">
      <c r="A26" s="17" t="s">
        <v>1303</v>
      </c>
      <c r="B26" s="17">
        <v>1.2500000000000001E-2</v>
      </c>
      <c r="C26" s="17">
        <v>3.5200000000000002E-2</v>
      </c>
      <c r="D26" s="17">
        <v>2.0999999999999999E-3</v>
      </c>
      <c r="E26" s="17">
        <v>2.9000000000000001E-2</v>
      </c>
      <c r="F26" s="17">
        <v>7.9000000000000008E-3</v>
      </c>
      <c r="G26" s="17">
        <v>-7.4000000000000003E-3</v>
      </c>
      <c r="H26" s="17">
        <v>-1.5E-3</v>
      </c>
      <c r="I26" s="17">
        <v>-1.67E-2</v>
      </c>
      <c r="J26" s="17">
        <v>2.6800000000000001E-2</v>
      </c>
      <c r="K26" s="17">
        <v>-6.8999999999999999E-3</v>
      </c>
      <c r="L26" s="17">
        <v>2.29E-2</v>
      </c>
      <c r="M26" s="17">
        <v>8.9999999999999993E-3</v>
      </c>
      <c r="N26" s="17">
        <v>0.65</v>
      </c>
      <c r="O26" s="17">
        <v>1E-3</v>
      </c>
      <c r="P26" s="17">
        <v>0.77</v>
      </c>
      <c r="Q26" s="17">
        <v>0.37</v>
      </c>
      <c r="R26" s="17">
        <v>0.77100000000000002</v>
      </c>
      <c r="S26" s="17">
        <v>0.87</v>
      </c>
      <c r="T26" s="17">
        <v>20081231</v>
      </c>
      <c r="U26" s="17">
        <v>20190731</v>
      </c>
      <c r="V26" s="17">
        <v>128</v>
      </c>
    </row>
    <row r="27" spans="1:22">
      <c r="A27" s="17" t="s">
        <v>1304</v>
      </c>
      <c r="B27" s="17">
        <v>1.72E-2</v>
      </c>
      <c r="C27" s="17">
        <v>3.0599999999999999E-2</v>
      </c>
      <c r="D27" s="17">
        <v>6.7999999999999996E-3</v>
      </c>
      <c r="E27" s="17">
        <v>2.81E-2</v>
      </c>
      <c r="F27" s="17">
        <v>1.4500000000000001E-2</v>
      </c>
      <c r="G27" s="17">
        <v>-1.9400000000000001E-2</v>
      </c>
      <c r="H27" s="17">
        <v>2.5999999999999999E-3</v>
      </c>
      <c r="I27" s="17">
        <v>-3.3000000000000002E-2</v>
      </c>
      <c r="J27" s="17">
        <v>1.77E-2</v>
      </c>
      <c r="K27" s="17">
        <v>-1.8599999999999998E-2</v>
      </c>
      <c r="L27" s="17">
        <v>3.0099999999999998E-2</v>
      </c>
      <c r="M27" s="17">
        <v>6.0000000000000001E-3</v>
      </c>
      <c r="N27" s="17">
        <v>0.45</v>
      </c>
      <c r="O27" s="17">
        <v>1.1999999999999999E-3</v>
      </c>
      <c r="P27" s="17">
        <v>0.83</v>
      </c>
      <c r="Q27" s="17">
        <v>0.39</v>
      </c>
      <c r="R27" s="17">
        <v>0.752</v>
      </c>
      <c r="S27" s="17">
        <v>0.91</v>
      </c>
      <c r="T27" s="17">
        <v>20081231</v>
      </c>
      <c r="U27" s="17">
        <v>20190731</v>
      </c>
      <c r="V27" s="17">
        <v>128</v>
      </c>
    </row>
    <row r="28" spans="1:22">
      <c r="A28" s="17" t="s">
        <v>732</v>
      </c>
      <c r="B28" s="17">
        <v>1.14E-2</v>
      </c>
      <c r="C28" s="17">
        <v>2.8500000000000001E-2</v>
      </c>
      <c r="D28" s="17">
        <v>1.6199999999999999E-2</v>
      </c>
      <c r="E28" s="17">
        <v>3.39E-2</v>
      </c>
      <c r="F28" s="17">
        <v>1.01E-2</v>
      </c>
      <c r="G28" s="17">
        <v>-3.15E-2</v>
      </c>
      <c r="H28" s="17">
        <v>7.9000000000000008E-3</v>
      </c>
      <c r="I28" s="17">
        <v>-3.2899999999999999E-2</v>
      </c>
      <c r="J28" s="17">
        <v>2.0899999999999998E-2</v>
      </c>
      <c r="K28" s="17">
        <v>-3.3E-3</v>
      </c>
      <c r="L28" s="17">
        <v>4.6800000000000001E-2</v>
      </c>
      <c r="M28" s="17">
        <v>8.0000000000000002E-3</v>
      </c>
      <c r="N28" s="17">
        <v>0.54</v>
      </c>
      <c r="O28" s="17">
        <v>1.4E-3</v>
      </c>
      <c r="P28" s="17">
        <v>0.92</v>
      </c>
      <c r="Q28" s="17">
        <v>0.4</v>
      </c>
      <c r="R28" s="17">
        <v>0.63600000000000001</v>
      </c>
      <c r="S28" s="17">
        <v>0.88</v>
      </c>
      <c r="T28" s="17">
        <v>20081231</v>
      </c>
      <c r="U28" s="17">
        <v>20190731</v>
      </c>
      <c r="V28" s="17">
        <v>122</v>
      </c>
    </row>
    <row r="29" spans="1:22">
      <c r="A29" s="17" t="s">
        <v>1305</v>
      </c>
      <c r="B29" s="17">
        <v>1.41E-2</v>
      </c>
      <c r="C29" s="17">
        <v>5.5599999999999997E-2</v>
      </c>
      <c r="D29" s="17">
        <v>4.3700000000000003E-2</v>
      </c>
      <c r="E29" s="17">
        <v>4.8399999999999999E-2</v>
      </c>
      <c r="F29" s="17">
        <v>4.02E-2</v>
      </c>
      <c r="G29" s="17">
        <v>2.07E-2</v>
      </c>
      <c r="H29" s="17">
        <v>2.8299999999999999E-2</v>
      </c>
      <c r="I29" s="17">
        <v>2.69E-2</v>
      </c>
      <c r="J29" s="17">
        <v>5.3499999999999999E-2</v>
      </c>
      <c r="K29" s="17">
        <v>3.8800000000000001E-2</v>
      </c>
      <c r="L29" s="17">
        <v>3.8300000000000001E-2</v>
      </c>
      <c r="M29" s="17">
        <v>3.6999999999999998E-2</v>
      </c>
      <c r="N29" s="17">
        <v>2.88</v>
      </c>
      <c r="O29" s="17">
        <v>3.0999999999999999E-3</v>
      </c>
      <c r="P29" s="17">
        <v>2.35</v>
      </c>
      <c r="Q29" s="17">
        <v>1.42</v>
      </c>
      <c r="R29" s="17">
        <v>0.92300000000000004</v>
      </c>
      <c r="S29" s="17">
        <v>0.81</v>
      </c>
      <c r="T29" s="17">
        <v>20081231</v>
      </c>
      <c r="U29" s="17">
        <v>20190731</v>
      </c>
      <c r="V29" s="17">
        <v>128</v>
      </c>
    </row>
    <row r="30" spans="1:22">
      <c r="A30" s="17" t="s">
        <v>1306</v>
      </c>
      <c r="B30" s="17">
        <v>1.2699999999999999E-2</v>
      </c>
      <c r="C30" s="17">
        <v>4.8500000000000001E-2</v>
      </c>
      <c r="D30" s="17">
        <v>5.0299999999999997E-2</v>
      </c>
      <c r="E30" s="17">
        <v>4.5499999999999999E-2</v>
      </c>
      <c r="F30" s="17">
        <v>4.1099999999999998E-2</v>
      </c>
      <c r="G30" s="17">
        <v>1.8100000000000002E-2</v>
      </c>
      <c r="H30" s="17">
        <v>3.0700000000000002E-2</v>
      </c>
      <c r="I30" s="17">
        <v>2.8400000000000002E-2</v>
      </c>
      <c r="J30" s="17">
        <v>5.4300000000000001E-2</v>
      </c>
      <c r="K30" s="17">
        <v>2.98E-2</v>
      </c>
      <c r="L30" s="17">
        <v>4.7800000000000002E-2</v>
      </c>
      <c r="M30" s="17">
        <v>3.6999999999999998E-2</v>
      </c>
      <c r="N30" s="17">
        <v>3</v>
      </c>
      <c r="O30" s="17">
        <v>3.2000000000000002E-3</v>
      </c>
      <c r="P30" s="17">
        <v>2.44</v>
      </c>
      <c r="Q30" s="17">
        <v>1.51</v>
      </c>
      <c r="R30" s="17">
        <v>0.98899999999999999</v>
      </c>
      <c r="S30" s="17">
        <v>0.81</v>
      </c>
      <c r="T30" s="17">
        <v>20081231</v>
      </c>
      <c r="U30" s="17">
        <v>20190731</v>
      </c>
      <c r="V30" s="17">
        <v>128</v>
      </c>
    </row>
    <row r="31" spans="1:22">
      <c r="A31" s="17" t="s">
        <v>1307</v>
      </c>
      <c r="B31" s="17">
        <v>1.52E-2</v>
      </c>
      <c r="C31" s="17">
        <v>6.13E-2</v>
      </c>
      <c r="D31" s="17">
        <v>4.8899999999999999E-2</v>
      </c>
      <c r="E31" s="17">
        <v>4.1300000000000003E-2</v>
      </c>
      <c r="F31" s="17">
        <v>4.3400000000000001E-2</v>
      </c>
      <c r="G31" s="17">
        <v>1.4E-2</v>
      </c>
      <c r="H31" s="17">
        <v>3.2000000000000001E-2</v>
      </c>
      <c r="I31" s="17">
        <v>2.3099999999999999E-2</v>
      </c>
      <c r="J31" s="17">
        <v>5.57E-2</v>
      </c>
      <c r="K31" s="17">
        <v>3.3000000000000002E-2</v>
      </c>
      <c r="L31" s="17">
        <v>4.5699999999999998E-2</v>
      </c>
      <c r="M31" s="17">
        <v>3.6999999999999998E-2</v>
      </c>
      <c r="N31" s="17">
        <v>2.75</v>
      </c>
      <c r="O31" s="17">
        <v>2.8E-3</v>
      </c>
      <c r="P31" s="17">
        <v>1.99</v>
      </c>
      <c r="Q31" s="17">
        <v>1.39</v>
      </c>
      <c r="R31" s="17">
        <v>0.97</v>
      </c>
      <c r="S31" s="17">
        <v>0.79</v>
      </c>
      <c r="T31" s="17">
        <v>20081231</v>
      </c>
      <c r="U31" s="17">
        <v>20190731</v>
      </c>
      <c r="V31" s="17">
        <v>128</v>
      </c>
    </row>
    <row r="32" spans="1:22">
      <c r="A32" s="17" t="s">
        <v>1520</v>
      </c>
      <c r="B32" s="17">
        <v>0.1024</v>
      </c>
      <c r="C32" s="17">
        <v>5.2200000000000003E-2</v>
      </c>
      <c r="D32" s="17">
        <v>4.65E-2</v>
      </c>
      <c r="E32" s="17">
        <v>8.1000000000000003E-2</v>
      </c>
      <c r="F32" s="17">
        <v>5.4300000000000001E-2</v>
      </c>
      <c r="G32" s="17">
        <v>5.6500000000000002E-2</v>
      </c>
      <c r="H32" s="17">
        <v>0.1242</v>
      </c>
      <c r="I32" s="17">
        <v>5.0900000000000001E-2</v>
      </c>
      <c r="J32" s="17">
        <v>4.0500000000000001E-2</v>
      </c>
      <c r="K32" s="17">
        <v>5.8799999999999998E-2</v>
      </c>
      <c r="L32" s="17">
        <v>7.3300000000000004E-2</v>
      </c>
      <c r="M32" s="17">
        <v>6.7000000000000004E-2</v>
      </c>
      <c r="N32" s="17">
        <v>2.74</v>
      </c>
      <c r="O32" s="17">
        <v>4.8999999999999998E-3</v>
      </c>
      <c r="P32" s="17">
        <v>1.87</v>
      </c>
      <c r="Q32" s="17">
        <v>2.04</v>
      </c>
      <c r="R32" s="17">
        <v>0.999</v>
      </c>
      <c r="S32" s="17">
        <v>-7.0000000000000007E-2</v>
      </c>
      <c r="T32" s="17">
        <v>20081231</v>
      </c>
      <c r="U32" s="17">
        <v>20190731</v>
      </c>
      <c r="V32" s="17">
        <v>128</v>
      </c>
    </row>
    <row r="33" spans="1:22">
      <c r="A33" s="17" t="s">
        <v>1521</v>
      </c>
      <c r="B33" s="17">
        <v>8.6300000000000002E-2</v>
      </c>
      <c r="C33" s="17">
        <v>5.6599999999999998E-2</v>
      </c>
      <c r="D33" s="17">
        <v>5.6000000000000001E-2</v>
      </c>
      <c r="E33" s="17">
        <v>5.7299999999999997E-2</v>
      </c>
      <c r="F33" s="17">
        <v>4.65E-2</v>
      </c>
      <c r="G33" s="17">
        <v>4.48E-2</v>
      </c>
      <c r="H33" s="17">
        <v>0.115</v>
      </c>
      <c r="I33" s="17">
        <v>4.7399999999999998E-2</v>
      </c>
      <c r="J33" s="17">
        <v>4.0500000000000001E-2</v>
      </c>
      <c r="K33" s="17">
        <v>5.4100000000000002E-2</v>
      </c>
      <c r="L33" s="17">
        <v>6.9099999999999995E-2</v>
      </c>
      <c r="M33" s="17">
        <v>6.0999999999999999E-2</v>
      </c>
      <c r="N33" s="17">
        <v>3.02</v>
      </c>
      <c r="O33" s="17">
        <v>4.4999999999999997E-3</v>
      </c>
      <c r="P33" s="17">
        <v>2.3199999999999998</v>
      </c>
      <c r="Q33" s="17">
        <v>1.9</v>
      </c>
      <c r="R33" s="17">
        <v>0.999</v>
      </c>
      <c r="S33" s="17">
        <v>-0.06</v>
      </c>
      <c r="T33" s="17">
        <v>20081231</v>
      </c>
      <c r="U33" s="17">
        <v>20190731</v>
      </c>
      <c r="V33" s="17">
        <v>128</v>
      </c>
    </row>
    <row r="34" spans="1:22">
      <c r="A34" s="17" t="s">
        <v>1522</v>
      </c>
      <c r="B34" s="17">
        <v>9.7799999999999998E-2</v>
      </c>
      <c r="C34" s="17">
        <v>4.5100000000000001E-2</v>
      </c>
      <c r="D34" s="17">
        <v>4.9700000000000001E-2</v>
      </c>
      <c r="E34" s="17">
        <v>6.2199999999999998E-2</v>
      </c>
      <c r="F34" s="17">
        <v>4.0800000000000003E-2</v>
      </c>
      <c r="G34" s="17">
        <v>5.6500000000000002E-2</v>
      </c>
      <c r="H34" s="17">
        <v>0.12470000000000001</v>
      </c>
      <c r="I34" s="17">
        <v>5.1999999999999998E-2</v>
      </c>
      <c r="J34" s="17">
        <v>4.5499999999999999E-2</v>
      </c>
      <c r="K34" s="17">
        <v>5.8099999999999999E-2</v>
      </c>
      <c r="L34" s="17">
        <v>7.1499999999999994E-2</v>
      </c>
      <c r="M34" s="17">
        <v>6.4000000000000001E-2</v>
      </c>
      <c r="N34" s="17">
        <v>2.79</v>
      </c>
      <c r="O34" s="17">
        <v>4.7999999999999996E-3</v>
      </c>
      <c r="P34" s="17">
        <v>1.96</v>
      </c>
      <c r="Q34" s="17">
        <v>2.0499999999999998</v>
      </c>
      <c r="R34" s="17">
        <v>0.999</v>
      </c>
      <c r="S34" s="17">
        <v>-0.08</v>
      </c>
      <c r="T34" s="17">
        <v>20081231</v>
      </c>
      <c r="U34" s="17">
        <v>20190731</v>
      </c>
      <c r="V34" s="17">
        <v>128</v>
      </c>
    </row>
    <row r="35" spans="1:22">
      <c r="A35" s="17" t="s">
        <v>1523</v>
      </c>
      <c r="B35" s="17">
        <v>7.3999999999999996E-2</v>
      </c>
      <c r="C35" s="17">
        <v>4.7600000000000003E-2</v>
      </c>
      <c r="D35" s="17">
        <v>6.9000000000000006E-2</v>
      </c>
      <c r="E35" s="17">
        <v>8.2100000000000006E-2</v>
      </c>
      <c r="F35" s="17">
        <v>3.9899999999999998E-2</v>
      </c>
      <c r="G35" s="17">
        <v>8.0299999999999996E-2</v>
      </c>
      <c r="H35" s="17">
        <v>0.1416</v>
      </c>
      <c r="I35" s="17">
        <v>5.6000000000000001E-2</v>
      </c>
      <c r="J35" s="17">
        <v>3.1399999999999997E-2</v>
      </c>
      <c r="K35" s="17">
        <v>2.3599999999999999E-2</v>
      </c>
      <c r="L35" s="17">
        <v>4.9200000000000001E-2</v>
      </c>
      <c r="M35" s="17">
        <v>6.4000000000000001E-2</v>
      </c>
      <c r="N35" s="17">
        <v>2.6</v>
      </c>
      <c r="O35" s="17">
        <v>4.4999999999999997E-3</v>
      </c>
      <c r="P35" s="17">
        <v>1.75</v>
      </c>
      <c r="Q35" s="17">
        <v>1.81</v>
      </c>
      <c r="R35" s="17">
        <v>0.999</v>
      </c>
      <c r="S35" s="17">
        <v>0.56000000000000005</v>
      </c>
      <c r="T35" s="17">
        <v>20081231</v>
      </c>
      <c r="U35" s="17">
        <v>20190731</v>
      </c>
      <c r="V35" s="17">
        <v>128</v>
      </c>
    </row>
    <row r="36" spans="1:22">
      <c r="A36" s="17" t="s">
        <v>1524</v>
      </c>
      <c r="B36" s="17">
        <v>5.6000000000000001E-2</v>
      </c>
      <c r="C36" s="17">
        <v>6.2100000000000002E-2</v>
      </c>
      <c r="D36" s="17">
        <v>7.0099999999999996E-2</v>
      </c>
      <c r="E36" s="17">
        <v>6.9099999999999995E-2</v>
      </c>
      <c r="F36" s="17">
        <v>4.4600000000000001E-2</v>
      </c>
      <c r="G36" s="17">
        <v>5.5599999999999997E-2</v>
      </c>
      <c r="H36" s="17">
        <v>0.1162</v>
      </c>
      <c r="I36" s="17">
        <v>4.9000000000000002E-2</v>
      </c>
      <c r="J36" s="17">
        <v>4.1000000000000002E-2</v>
      </c>
      <c r="K36" s="17">
        <v>2.1000000000000001E-2</v>
      </c>
      <c r="L36" s="17">
        <v>4.82E-2</v>
      </c>
      <c r="M36" s="17">
        <v>5.8000000000000003E-2</v>
      </c>
      <c r="N36" s="17">
        <v>3.34</v>
      </c>
      <c r="O36" s="17">
        <v>4.1999999999999997E-3</v>
      </c>
      <c r="P36" s="17">
        <v>2.42</v>
      </c>
      <c r="Q36" s="17">
        <v>1.67</v>
      </c>
      <c r="R36" s="17">
        <v>0.999</v>
      </c>
      <c r="S36" s="17">
        <v>0.55000000000000004</v>
      </c>
      <c r="T36" s="17">
        <v>20081231</v>
      </c>
      <c r="U36" s="17">
        <v>20190731</v>
      </c>
      <c r="V36" s="17">
        <v>128</v>
      </c>
    </row>
    <row r="37" spans="1:22">
      <c r="A37" s="17" t="s">
        <v>1525</v>
      </c>
      <c r="B37" s="17">
        <v>7.2099999999999997E-2</v>
      </c>
      <c r="C37" s="17">
        <v>4.5999999999999999E-2</v>
      </c>
      <c r="D37" s="17">
        <v>6.3200000000000006E-2</v>
      </c>
      <c r="E37" s="17">
        <v>6.8199999999999997E-2</v>
      </c>
      <c r="F37" s="17">
        <v>3.7199999999999997E-2</v>
      </c>
      <c r="G37" s="17">
        <v>7.1800000000000003E-2</v>
      </c>
      <c r="H37" s="17">
        <v>0.13489999999999999</v>
      </c>
      <c r="I37" s="17">
        <v>5.45E-2</v>
      </c>
      <c r="J37" s="17">
        <v>3.8600000000000002E-2</v>
      </c>
      <c r="K37" s="17">
        <v>2.4500000000000001E-2</v>
      </c>
      <c r="L37" s="17">
        <v>4.7300000000000002E-2</v>
      </c>
      <c r="M37" s="17">
        <v>0.06</v>
      </c>
      <c r="N37" s="17">
        <v>2.81</v>
      </c>
      <c r="O37" s="17">
        <v>4.4000000000000003E-3</v>
      </c>
      <c r="P37" s="17">
        <v>1.97</v>
      </c>
      <c r="Q37" s="17">
        <v>1.8</v>
      </c>
      <c r="R37" s="17">
        <v>0.999</v>
      </c>
      <c r="S37" s="17">
        <v>0.56000000000000005</v>
      </c>
      <c r="T37" s="17">
        <v>20081231</v>
      </c>
      <c r="U37" s="17">
        <v>20190731</v>
      </c>
      <c r="V37" s="17">
        <v>128</v>
      </c>
    </row>
    <row r="38" spans="1:22">
      <c r="A38" s="17" t="s">
        <v>552</v>
      </c>
      <c r="B38" s="17">
        <v>2.8799999999999999E-2</v>
      </c>
      <c r="C38" s="17">
        <v>6.7100000000000007E-2</v>
      </c>
      <c r="D38" s="17">
        <v>4.58E-2</v>
      </c>
      <c r="E38" s="17">
        <v>5.7700000000000001E-2</v>
      </c>
      <c r="F38" s="17">
        <v>4.6800000000000001E-2</v>
      </c>
      <c r="G38" s="17">
        <v>2.7799999999999998E-2</v>
      </c>
      <c r="H38" s="17">
        <v>5.1400000000000001E-2</v>
      </c>
      <c r="I38" s="17">
        <v>3.4000000000000002E-2</v>
      </c>
      <c r="J38" s="17">
        <v>7.17E-2</v>
      </c>
      <c r="K38" s="17">
        <v>6.2899999999999998E-2</v>
      </c>
      <c r="L38" s="17">
        <v>5.6300000000000003E-2</v>
      </c>
      <c r="M38" s="17">
        <v>0.05</v>
      </c>
      <c r="N38" s="17">
        <v>3.57</v>
      </c>
      <c r="O38" s="17">
        <v>3.3E-3</v>
      </c>
      <c r="P38" s="17">
        <v>2.2599999999999998</v>
      </c>
      <c r="Q38" s="17">
        <v>1.62</v>
      </c>
      <c r="R38" s="17">
        <v>0.999</v>
      </c>
      <c r="S38" s="17">
        <v>0.75</v>
      </c>
      <c r="T38" s="17">
        <v>20081231</v>
      </c>
      <c r="U38" s="17">
        <v>20190731</v>
      </c>
      <c r="V38" s="17">
        <v>128</v>
      </c>
    </row>
    <row r="39" spans="1:22">
      <c r="A39" s="17" t="s">
        <v>1308</v>
      </c>
      <c r="B39" s="17">
        <v>8.3999999999999995E-3</v>
      </c>
      <c r="C39" s="17">
        <v>2.6700000000000002E-2</v>
      </c>
      <c r="D39" s="17">
        <v>4.7300000000000002E-2</v>
      </c>
      <c r="E39" s="17">
        <v>4.0899999999999999E-2</v>
      </c>
      <c r="F39" s="17">
        <v>4.9599999999999998E-2</v>
      </c>
      <c r="G39" s="17">
        <v>2.5100000000000001E-2</v>
      </c>
      <c r="H39" s="17">
        <v>4.4900000000000002E-2</v>
      </c>
      <c r="I39" s="17">
        <v>2.1299999999999999E-2</v>
      </c>
      <c r="J39" s="17">
        <v>4.58E-2</v>
      </c>
      <c r="K39" s="17">
        <v>3.9800000000000002E-2</v>
      </c>
      <c r="L39" s="17">
        <v>3.9100000000000003E-2</v>
      </c>
      <c r="M39" s="17">
        <v>3.5000000000000003E-2</v>
      </c>
      <c r="N39" s="17">
        <v>3.06</v>
      </c>
      <c r="O39" s="17">
        <v>2.3999999999999998E-3</v>
      </c>
      <c r="P39" s="17">
        <v>1.94</v>
      </c>
      <c r="Q39" s="17">
        <v>1.1599999999999999</v>
      </c>
      <c r="R39" s="17">
        <v>0.999</v>
      </c>
      <c r="S39" s="17">
        <v>0.84</v>
      </c>
      <c r="T39" s="17">
        <v>20081231</v>
      </c>
      <c r="U39" s="17">
        <v>20190731</v>
      </c>
      <c r="V39" s="17">
        <v>128</v>
      </c>
    </row>
    <row r="40" spans="1:22">
      <c r="A40" s="17" t="s">
        <v>553</v>
      </c>
      <c r="B40" s="17">
        <v>3.8100000000000002E-2</v>
      </c>
      <c r="C40" s="17">
        <v>6.8099999999999994E-2</v>
      </c>
      <c r="D40" s="17">
        <v>5.0599999999999999E-2</v>
      </c>
      <c r="E40" s="17">
        <v>5.1999999999999998E-2</v>
      </c>
      <c r="F40" s="17">
        <v>5.2900000000000003E-2</v>
      </c>
      <c r="G40" s="17">
        <v>2.1700000000000001E-2</v>
      </c>
      <c r="H40" s="17">
        <v>5.3999999999999999E-2</v>
      </c>
      <c r="I40" s="17">
        <v>2.93E-2</v>
      </c>
      <c r="J40" s="17">
        <v>5.6599999999999998E-2</v>
      </c>
      <c r="K40" s="17">
        <v>5.7099999999999998E-2</v>
      </c>
      <c r="L40" s="17">
        <v>5.7200000000000001E-2</v>
      </c>
      <c r="M40" s="17">
        <v>4.9000000000000002E-2</v>
      </c>
      <c r="N40" s="17">
        <v>3.26</v>
      </c>
      <c r="O40" s="17">
        <v>3.2000000000000002E-3</v>
      </c>
      <c r="P40" s="17">
        <v>2.4500000000000002</v>
      </c>
      <c r="Q40" s="17">
        <v>1.63</v>
      </c>
      <c r="R40" s="17">
        <v>0.999</v>
      </c>
      <c r="S40" s="17">
        <v>0.75</v>
      </c>
      <c r="T40" s="17">
        <v>20081231</v>
      </c>
      <c r="U40" s="17">
        <v>20190731</v>
      </c>
      <c r="V40" s="17">
        <v>128</v>
      </c>
    </row>
    <row r="41" spans="1:22">
      <c r="A41" s="17" t="s">
        <v>1309</v>
      </c>
      <c r="B41" s="17">
        <v>2.8199999999999999E-2</v>
      </c>
      <c r="C41" s="17">
        <v>5.4600000000000003E-2</v>
      </c>
      <c r="D41" s="17">
        <v>4.3299999999999998E-2</v>
      </c>
      <c r="E41" s="17">
        <v>4.7899999999999998E-2</v>
      </c>
      <c r="F41" s="17">
        <v>5.8599999999999999E-2</v>
      </c>
      <c r="G41" s="17">
        <v>4.5999999999999999E-3</v>
      </c>
      <c r="H41" s="17">
        <v>4.6600000000000003E-2</v>
      </c>
      <c r="I41" s="17">
        <v>1.1900000000000001E-2</v>
      </c>
      <c r="J41" s="17">
        <v>6.5600000000000006E-2</v>
      </c>
      <c r="K41" s="17">
        <v>4.3299999999999998E-2</v>
      </c>
      <c r="L41" s="17">
        <v>4.9299999999999997E-2</v>
      </c>
      <c r="M41" s="17">
        <v>4.1000000000000002E-2</v>
      </c>
      <c r="N41" s="17">
        <v>2.2400000000000002</v>
      </c>
      <c r="O41" s="17">
        <v>3.0000000000000001E-3</v>
      </c>
      <c r="P41" s="17">
        <v>1.63</v>
      </c>
      <c r="Q41" s="17">
        <v>1.41</v>
      </c>
      <c r="R41" s="17">
        <v>0.999</v>
      </c>
      <c r="S41" s="17">
        <v>0.86</v>
      </c>
      <c r="T41" s="17">
        <v>20081231</v>
      </c>
      <c r="U41" s="17">
        <v>20190731</v>
      </c>
      <c r="V41" s="17">
        <v>128</v>
      </c>
    </row>
    <row r="42" spans="1:22">
      <c r="A42" s="17" t="s">
        <v>1310</v>
      </c>
      <c r="B42" s="17">
        <v>2.53E-2</v>
      </c>
      <c r="C42" s="17">
        <v>6.6000000000000003E-2</v>
      </c>
      <c r="D42" s="17">
        <v>4.8099999999999997E-2</v>
      </c>
      <c r="E42" s="17">
        <v>5.7299999999999997E-2</v>
      </c>
      <c r="F42" s="17">
        <v>3.3799999999999997E-2</v>
      </c>
      <c r="G42" s="17">
        <v>2.7099999999999999E-2</v>
      </c>
      <c r="H42" s="17">
        <v>7.6100000000000001E-2</v>
      </c>
      <c r="I42" s="17">
        <v>5.8200000000000002E-2</v>
      </c>
      <c r="J42" s="17">
        <v>7.8399999999999997E-2</v>
      </c>
      <c r="K42" s="17">
        <v>1.2E-2</v>
      </c>
      <c r="L42" s="17">
        <v>2.6200000000000001E-2</v>
      </c>
      <c r="M42" s="17">
        <v>4.7E-2</v>
      </c>
      <c r="N42" s="17">
        <v>2.65</v>
      </c>
      <c r="O42" s="17">
        <v>3.0999999999999999E-3</v>
      </c>
      <c r="P42" s="17">
        <v>1.83</v>
      </c>
      <c r="Q42" s="17">
        <v>1.27</v>
      </c>
      <c r="R42" s="17">
        <v>0.78200000000000003</v>
      </c>
      <c r="S42" s="17">
        <v>0.88</v>
      </c>
      <c r="T42" s="17">
        <v>20081231</v>
      </c>
      <c r="U42" s="17">
        <v>20190731</v>
      </c>
      <c r="V42" s="17">
        <v>128</v>
      </c>
    </row>
    <row r="43" spans="1:22">
      <c r="A43" s="17" t="s">
        <v>1311</v>
      </c>
      <c r="B43" s="17">
        <v>1.84E-2</v>
      </c>
      <c r="C43" s="17">
        <v>6.59E-2</v>
      </c>
      <c r="D43" s="17">
        <v>3.6900000000000002E-2</v>
      </c>
      <c r="E43" s="17">
        <v>4.5400000000000003E-2</v>
      </c>
      <c r="F43" s="17">
        <v>2.4500000000000001E-2</v>
      </c>
      <c r="G43" s="17">
        <v>1.9599999999999999E-2</v>
      </c>
      <c r="H43" s="17">
        <v>6.9699999999999998E-2</v>
      </c>
      <c r="I43" s="17">
        <v>4.0599999999999997E-2</v>
      </c>
      <c r="J43" s="17">
        <v>5.6500000000000002E-2</v>
      </c>
      <c r="K43" s="17">
        <v>5.1000000000000004E-3</v>
      </c>
      <c r="L43" s="17">
        <v>1.77E-2</v>
      </c>
      <c r="M43" s="17">
        <v>3.6999999999999998E-2</v>
      </c>
      <c r="N43" s="17">
        <v>2.38</v>
      </c>
      <c r="O43" s="17">
        <v>2.3999999999999998E-3</v>
      </c>
      <c r="P43" s="17">
        <v>1.5</v>
      </c>
      <c r="Q43" s="17">
        <v>0.97</v>
      </c>
      <c r="R43" s="17">
        <v>0.79600000000000004</v>
      </c>
      <c r="S43" s="17">
        <v>0.86</v>
      </c>
      <c r="T43" s="17">
        <v>20081231</v>
      </c>
      <c r="U43" s="17">
        <v>20190731</v>
      </c>
      <c r="V43" s="17">
        <v>128</v>
      </c>
    </row>
    <row r="44" spans="1:22">
      <c r="A44" s="17" t="s">
        <v>1312</v>
      </c>
      <c r="B44" s="17">
        <v>1.6199999999999999E-2</v>
      </c>
      <c r="C44" s="17">
        <v>5.9400000000000001E-2</v>
      </c>
      <c r="D44" s="17">
        <v>1.89E-2</v>
      </c>
      <c r="E44" s="17">
        <v>2.7699999999999999E-2</v>
      </c>
      <c r="F44" s="17">
        <v>3.15E-2</v>
      </c>
      <c r="G44" s="17">
        <v>3.78E-2</v>
      </c>
      <c r="H44" s="17">
        <v>7.8100000000000003E-2</v>
      </c>
      <c r="I44" s="17">
        <v>5.5800000000000002E-2</v>
      </c>
      <c r="J44" s="17">
        <v>-5.6300000000000003E-2</v>
      </c>
      <c r="K44" s="17">
        <v>1.0999999999999999E-2</v>
      </c>
      <c r="L44" s="17">
        <v>0</v>
      </c>
      <c r="M44" s="17">
        <v>2.5999999999999999E-2</v>
      </c>
      <c r="N44" s="17">
        <v>0.99</v>
      </c>
      <c r="O44" s="17">
        <v>1.4E-3</v>
      </c>
      <c r="P44" s="17">
        <v>1.3</v>
      </c>
      <c r="Q44" s="17">
        <v>0.55000000000000004</v>
      </c>
      <c r="R44" s="17">
        <v>0.93899999999999995</v>
      </c>
      <c r="S44" s="17">
        <v>0.82</v>
      </c>
      <c r="T44" s="17">
        <v>20081231</v>
      </c>
      <c r="U44" s="17">
        <v>20190731</v>
      </c>
      <c r="V44" s="17">
        <v>128</v>
      </c>
    </row>
    <row r="45" spans="1:22">
      <c r="A45" s="17" t="s">
        <v>733</v>
      </c>
      <c r="B45" s="17">
        <v>-2.9000000000000001E-2</v>
      </c>
      <c r="C45" s="17">
        <v>4.07E-2</v>
      </c>
      <c r="D45" s="17">
        <v>1.84E-2</v>
      </c>
      <c r="E45" s="17">
        <v>2.64E-2</v>
      </c>
      <c r="F45" s="17">
        <v>1.2999999999999999E-2</v>
      </c>
      <c r="G45" s="17">
        <v>3.0800000000000001E-2</v>
      </c>
      <c r="H45" s="17">
        <v>7.0099999999999996E-2</v>
      </c>
      <c r="I45" s="17">
        <v>5.1499999999999997E-2</v>
      </c>
      <c r="J45" s="17">
        <v>-5.9200000000000003E-2</v>
      </c>
      <c r="K45" s="17">
        <v>1.2200000000000001E-2</v>
      </c>
      <c r="L45" s="17">
        <v>-3.7000000000000002E-3</v>
      </c>
      <c r="M45" s="17">
        <v>1.6E-2</v>
      </c>
      <c r="N45" s="17">
        <v>0.57999999999999996</v>
      </c>
      <c r="O45" s="34">
        <v>8.0000000000000004E-4</v>
      </c>
      <c r="P45" s="17">
        <v>0.67</v>
      </c>
      <c r="Q45" s="17">
        <v>0.41</v>
      </c>
      <c r="R45" s="17">
        <v>0.94</v>
      </c>
      <c r="S45" s="17">
        <v>0.89</v>
      </c>
      <c r="T45" s="17">
        <v>20081231</v>
      </c>
      <c r="U45" s="17">
        <v>20190731</v>
      </c>
      <c r="V45" s="17">
        <v>128</v>
      </c>
    </row>
    <row r="46" spans="1:22">
      <c r="A46" s="17" t="s">
        <v>1313</v>
      </c>
      <c r="B46" s="17">
        <v>7.7000000000000002E-3</v>
      </c>
      <c r="C46" s="17">
        <v>3.1300000000000001E-2</v>
      </c>
      <c r="D46" s="17">
        <v>4.82E-2</v>
      </c>
      <c r="E46" s="17">
        <v>4.8899999999999999E-2</v>
      </c>
      <c r="F46" s="17">
        <v>5.28E-2</v>
      </c>
      <c r="G46" s="34">
        <v>-2.9999999999999997E-4</v>
      </c>
      <c r="H46" s="17">
        <v>3.56E-2</v>
      </c>
      <c r="I46" s="17">
        <v>1.5900000000000001E-2</v>
      </c>
      <c r="J46" s="17">
        <v>4.1799999999999997E-2</v>
      </c>
      <c r="K46" s="17">
        <v>3.1800000000000002E-2</v>
      </c>
      <c r="L46" s="17">
        <v>4.3999999999999997E-2</v>
      </c>
      <c r="M46" s="17">
        <v>3.2000000000000001E-2</v>
      </c>
      <c r="N46" s="17">
        <v>2.08</v>
      </c>
      <c r="O46" s="17">
        <v>2.3E-3</v>
      </c>
      <c r="P46" s="17">
        <v>1.59</v>
      </c>
      <c r="Q46" s="17">
        <v>1.07</v>
      </c>
      <c r="R46" s="17">
        <v>0.999</v>
      </c>
      <c r="S46" s="17">
        <v>0.82</v>
      </c>
      <c r="T46" s="17">
        <v>20081231</v>
      </c>
      <c r="U46" s="17">
        <v>20190731</v>
      </c>
      <c r="V46" s="17">
        <v>128</v>
      </c>
    </row>
    <row r="47" spans="1:22">
      <c r="A47" s="17" t="s">
        <v>1314</v>
      </c>
      <c r="B47" s="17">
        <v>2.3699999999999999E-2</v>
      </c>
      <c r="C47" s="17">
        <v>5.7799999999999997E-2</v>
      </c>
      <c r="D47" s="17">
        <v>4.6100000000000002E-2</v>
      </c>
      <c r="E47" s="17">
        <v>5.2900000000000003E-2</v>
      </c>
      <c r="F47" s="17">
        <v>4.4200000000000003E-2</v>
      </c>
      <c r="G47" s="17">
        <v>1.8200000000000001E-2</v>
      </c>
      <c r="H47" s="17">
        <v>3.8899999999999997E-2</v>
      </c>
      <c r="I47" s="17">
        <v>2.4E-2</v>
      </c>
      <c r="J47" s="17">
        <v>5.6899999999999999E-2</v>
      </c>
      <c r="K47" s="17">
        <v>5.0799999999999998E-2</v>
      </c>
      <c r="L47" s="17">
        <v>6.0900000000000003E-2</v>
      </c>
      <c r="M47" s="17">
        <v>4.2999999999999997E-2</v>
      </c>
      <c r="N47" s="17">
        <v>3.29</v>
      </c>
      <c r="O47" s="17">
        <v>3.2000000000000002E-3</v>
      </c>
      <c r="P47" s="17">
        <v>2.5</v>
      </c>
      <c r="Q47" s="17">
        <v>1.52</v>
      </c>
      <c r="R47" s="17">
        <v>0.999</v>
      </c>
      <c r="S47" s="17">
        <v>0.75</v>
      </c>
      <c r="T47" s="17">
        <v>20081231</v>
      </c>
      <c r="U47" s="17">
        <v>20190731</v>
      </c>
      <c r="V47" s="17">
        <v>128</v>
      </c>
    </row>
    <row r="48" spans="1:22">
      <c r="A48" s="17" t="s">
        <v>1315</v>
      </c>
      <c r="B48" s="17">
        <v>1.78E-2</v>
      </c>
      <c r="C48" s="17">
        <v>6.1100000000000002E-2</v>
      </c>
      <c r="D48" s="17">
        <v>3.2599999999999997E-2</v>
      </c>
      <c r="E48" s="17">
        <v>3.9E-2</v>
      </c>
      <c r="F48" s="17">
        <v>8.0500000000000002E-2</v>
      </c>
      <c r="G48" s="17">
        <v>2.64E-2</v>
      </c>
      <c r="H48" s="17">
        <v>7.4899999999999994E-2</v>
      </c>
      <c r="I48" s="17">
        <v>3.8100000000000002E-2</v>
      </c>
      <c r="J48" s="17">
        <v>2.1000000000000001E-2</v>
      </c>
      <c r="K48" s="17">
        <v>3.56E-2</v>
      </c>
      <c r="L48" s="17">
        <v>1.9199999999999998E-2</v>
      </c>
      <c r="M48" s="17">
        <v>4.1000000000000002E-2</v>
      </c>
      <c r="N48" s="17">
        <v>2.2400000000000002</v>
      </c>
      <c r="O48" s="17">
        <v>2.3999999999999998E-3</v>
      </c>
      <c r="P48" s="17">
        <v>1.57</v>
      </c>
      <c r="Q48" s="17">
        <v>0.97</v>
      </c>
      <c r="R48" s="17">
        <v>0.93200000000000005</v>
      </c>
      <c r="S48" s="17">
        <v>0.83</v>
      </c>
      <c r="T48" s="17">
        <v>20081231</v>
      </c>
      <c r="U48" s="17">
        <v>20190731</v>
      </c>
      <c r="V48" s="17">
        <v>128</v>
      </c>
    </row>
    <row r="49" spans="1:22">
      <c r="A49" s="17" t="s">
        <v>734</v>
      </c>
      <c r="B49" s="17">
        <v>4.1999999999999997E-3</v>
      </c>
      <c r="C49" s="17">
        <v>6.4600000000000005E-2</v>
      </c>
      <c r="D49" s="17">
        <v>1.4E-2</v>
      </c>
      <c r="E49" s="17">
        <v>1.7500000000000002E-2</v>
      </c>
      <c r="F49" s="17">
        <v>4.2500000000000003E-2</v>
      </c>
      <c r="G49" s="17">
        <v>2.8799999999999999E-2</v>
      </c>
      <c r="H49" s="17">
        <v>7.5600000000000001E-2</v>
      </c>
      <c r="I49" s="17">
        <v>4.1000000000000002E-2</v>
      </c>
      <c r="J49" s="17">
        <v>-5.0200000000000002E-2</v>
      </c>
      <c r="K49" s="17">
        <v>7.1000000000000004E-3</v>
      </c>
      <c r="L49" s="17">
        <v>-3.3999999999999998E-3</v>
      </c>
      <c r="M49" s="17">
        <v>2.3E-2</v>
      </c>
      <c r="N49" s="17">
        <v>0.86</v>
      </c>
      <c r="O49" s="17">
        <v>1.2999999999999999E-3</v>
      </c>
      <c r="P49" s="17">
        <v>1.01</v>
      </c>
      <c r="Q49" s="17">
        <v>0.52</v>
      </c>
      <c r="R49" s="17">
        <v>0.93799999999999994</v>
      </c>
      <c r="S49" s="17">
        <v>0.94</v>
      </c>
      <c r="T49" s="17">
        <v>20081231</v>
      </c>
      <c r="U49" s="17">
        <v>20190731</v>
      </c>
      <c r="V49" s="17">
        <v>128</v>
      </c>
    </row>
    <row r="50" spans="1:22">
      <c r="A50" s="17" t="s">
        <v>735</v>
      </c>
      <c r="B50" s="17">
        <v>2.1600000000000001E-2</v>
      </c>
      <c r="C50" s="17">
        <v>1.9699999999999999E-2</v>
      </c>
      <c r="D50" s="17">
        <v>2.6100000000000002E-2</v>
      </c>
      <c r="E50" s="17">
        <v>3.5099999999999999E-2</v>
      </c>
      <c r="F50" s="17">
        <v>3.95E-2</v>
      </c>
      <c r="G50" s="17">
        <v>5.6099999999999997E-2</v>
      </c>
      <c r="H50" s="17">
        <v>5.5399999999999998E-2</v>
      </c>
      <c r="I50" s="17">
        <v>2.5100000000000001E-2</v>
      </c>
      <c r="J50" s="17">
        <v>-8.8999999999999999E-3</v>
      </c>
      <c r="K50" s="17">
        <v>1E-3</v>
      </c>
      <c r="L50" s="17">
        <v>1.4200000000000001E-2</v>
      </c>
      <c r="M50" s="17">
        <v>2.5999999999999999E-2</v>
      </c>
      <c r="N50" s="17">
        <v>1.53</v>
      </c>
      <c r="O50" s="34">
        <v>8.9999999999999998E-4</v>
      </c>
      <c r="P50" s="17">
        <v>1.0900000000000001</v>
      </c>
      <c r="Q50" s="17">
        <v>0.54</v>
      </c>
      <c r="R50" s="17">
        <v>0.998</v>
      </c>
      <c r="S50" s="17">
        <v>0.94</v>
      </c>
      <c r="T50" s="17">
        <v>20081231</v>
      </c>
      <c r="U50" s="17">
        <v>20190731</v>
      </c>
      <c r="V50" s="17">
        <v>128</v>
      </c>
    </row>
    <row r="51" spans="1:22">
      <c r="A51" s="17" t="s">
        <v>1316</v>
      </c>
      <c r="B51" s="17">
        <v>7.3000000000000001E-3</v>
      </c>
      <c r="C51" s="17">
        <v>5.6300000000000003E-2</v>
      </c>
      <c r="D51" s="17">
        <v>2.1000000000000001E-2</v>
      </c>
      <c r="E51" s="17">
        <v>5.5E-2</v>
      </c>
      <c r="F51" s="17">
        <v>3.3000000000000002E-2</v>
      </c>
      <c r="G51" s="17">
        <v>1.2500000000000001E-2</v>
      </c>
      <c r="H51" s="17">
        <v>6.1199999999999997E-2</v>
      </c>
      <c r="I51" s="17">
        <v>5.6399999999999999E-2</v>
      </c>
      <c r="J51" s="17">
        <v>6.5100000000000005E-2</v>
      </c>
      <c r="K51" s="17">
        <v>-3.04E-2</v>
      </c>
      <c r="L51" s="17">
        <v>1.9900000000000001E-2</v>
      </c>
      <c r="M51" s="17">
        <v>3.3000000000000002E-2</v>
      </c>
      <c r="N51" s="17">
        <v>1.87</v>
      </c>
      <c r="O51" s="17">
        <v>2.3E-3</v>
      </c>
      <c r="P51" s="17">
        <v>1.41</v>
      </c>
      <c r="Q51" s="17">
        <v>0.69</v>
      </c>
      <c r="R51" s="17">
        <v>0.4</v>
      </c>
      <c r="S51" s="17">
        <v>0.88</v>
      </c>
      <c r="T51" s="17">
        <v>20081231</v>
      </c>
      <c r="U51" s="17">
        <v>20190731</v>
      </c>
      <c r="V51" s="17">
        <v>128</v>
      </c>
    </row>
    <row r="52" spans="1:22">
      <c r="A52" s="17" t="s">
        <v>1317</v>
      </c>
      <c r="B52" s="17">
        <v>-6.6E-3</v>
      </c>
      <c r="C52" s="17">
        <v>5.1400000000000001E-2</v>
      </c>
      <c r="D52" s="17">
        <v>1.6899999999999998E-2</v>
      </c>
      <c r="E52" s="17">
        <v>3.9199999999999999E-2</v>
      </c>
      <c r="F52" s="17">
        <v>2.8400000000000002E-2</v>
      </c>
      <c r="G52" s="17">
        <v>8.2000000000000007E-3</v>
      </c>
      <c r="H52" s="17">
        <v>4.7800000000000002E-2</v>
      </c>
      <c r="I52" s="17">
        <v>3.4299999999999997E-2</v>
      </c>
      <c r="J52" s="17">
        <v>5.2699999999999997E-2</v>
      </c>
      <c r="K52" s="17">
        <v>-2.0400000000000001E-2</v>
      </c>
      <c r="L52" s="17">
        <v>1.3100000000000001E-2</v>
      </c>
      <c r="M52" s="17">
        <v>2.4E-2</v>
      </c>
      <c r="N52" s="17">
        <v>1.45</v>
      </c>
      <c r="O52" s="17">
        <v>1.6999999999999999E-3</v>
      </c>
      <c r="P52" s="17">
        <v>1.0900000000000001</v>
      </c>
      <c r="Q52" s="17">
        <v>0.5</v>
      </c>
      <c r="R52" s="17">
        <v>0.40699999999999997</v>
      </c>
      <c r="S52" s="17">
        <v>0.88</v>
      </c>
      <c r="T52" s="17">
        <v>20081231</v>
      </c>
      <c r="U52" s="17">
        <v>20190731</v>
      </c>
      <c r="V52" s="17">
        <v>128</v>
      </c>
    </row>
    <row r="53" spans="1:22">
      <c r="A53" s="17" t="s">
        <v>1318</v>
      </c>
      <c r="B53" s="34">
        <v>8.9999999999999998E-4</v>
      </c>
      <c r="C53" s="17">
        <v>3.0599999999999999E-2</v>
      </c>
      <c r="D53" s="17">
        <v>2.9499999999999998E-2</v>
      </c>
      <c r="E53" s="17">
        <v>2.9100000000000001E-2</v>
      </c>
      <c r="F53" s="17">
        <v>3.9899999999999998E-2</v>
      </c>
      <c r="G53" s="17">
        <v>-1.4E-2</v>
      </c>
      <c r="H53" s="17">
        <v>3.6400000000000002E-2</v>
      </c>
      <c r="I53" s="17">
        <v>6.4999999999999997E-3</v>
      </c>
      <c r="J53" s="17">
        <v>3.61E-2</v>
      </c>
      <c r="K53" s="17">
        <v>-3.2000000000000002E-3</v>
      </c>
      <c r="L53" s="17">
        <v>1.9199999999999998E-2</v>
      </c>
      <c r="M53" s="17">
        <v>1.9E-2</v>
      </c>
      <c r="N53" s="17">
        <v>1.1399999999999999</v>
      </c>
      <c r="O53" s="17">
        <v>1.5E-3</v>
      </c>
      <c r="P53" s="17">
        <v>0.89</v>
      </c>
      <c r="Q53" s="17">
        <v>0.63</v>
      </c>
      <c r="R53" s="17">
        <v>0.97899999999999998</v>
      </c>
      <c r="S53" s="17">
        <v>0.93</v>
      </c>
      <c r="T53" s="17">
        <v>20081231</v>
      </c>
      <c r="U53" s="17">
        <v>20190731</v>
      </c>
      <c r="V53" s="17">
        <v>128</v>
      </c>
    </row>
    <row r="54" spans="1:22">
      <c r="A54" s="17" t="s">
        <v>1319</v>
      </c>
      <c r="B54" s="17">
        <v>2.1299999999999999E-2</v>
      </c>
      <c r="C54" s="17">
        <v>4.8800000000000003E-2</v>
      </c>
      <c r="D54" s="17">
        <v>4.5600000000000002E-2</v>
      </c>
      <c r="E54" s="17">
        <v>4.3700000000000003E-2</v>
      </c>
      <c r="F54" s="17">
        <v>4.2200000000000001E-2</v>
      </c>
      <c r="G54" s="17">
        <v>1.6799999999999999E-2</v>
      </c>
      <c r="H54" s="17">
        <v>3.0800000000000001E-2</v>
      </c>
      <c r="I54" s="17">
        <v>2.46E-2</v>
      </c>
      <c r="J54" s="17">
        <v>5.45E-2</v>
      </c>
      <c r="K54" s="17">
        <v>2.9499999999999998E-2</v>
      </c>
      <c r="L54" s="17">
        <v>0.04</v>
      </c>
      <c r="M54" s="17">
        <v>3.5999999999999997E-2</v>
      </c>
      <c r="N54" s="17">
        <v>2.78</v>
      </c>
      <c r="O54" s="17">
        <v>3.0000000000000001E-3</v>
      </c>
      <c r="P54" s="17">
        <v>2.2200000000000002</v>
      </c>
      <c r="Q54" s="17">
        <v>1.39</v>
      </c>
      <c r="R54" s="17">
        <v>0.99</v>
      </c>
      <c r="S54" s="17">
        <v>0.79</v>
      </c>
      <c r="T54" s="17">
        <v>20081231</v>
      </c>
      <c r="U54" s="17">
        <v>20190731</v>
      </c>
      <c r="V54" s="17">
        <v>128</v>
      </c>
    </row>
    <row r="55" spans="1:22">
      <c r="A55" s="17" t="s">
        <v>1320</v>
      </c>
      <c r="B55" s="17">
        <v>2.87E-2</v>
      </c>
      <c r="C55" s="17">
        <v>5.4699999999999999E-2</v>
      </c>
      <c r="D55" s="17">
        <v>4.2900000000000001E-2</v>
      </c>
      <c r="E55" s="17">
        <v>4.9000000000000002E-2</v>
      </c>
      <c r="F55" s="17">
        <v>4.7300000000000002E-2</v>
      </c>
      <c r="G55" s="17">
        <v>1.84E-2</v>
      </c>
      <c r="H55" s="17">
        <v>3.8100000000000002E-2</v>
      </c>
      <c r="I55" s="17">
        <v>2.64E-2</v>
      </c>
      <c r="J55" s="17">
        <v>6.0999999999999999E-2</v>
      </c>
      <c r="K55" s="17">
        <v>3.2300000000000002E-2</v>
      </c>
      <c r="L55" s="17">
        <v>4.1700000000000001E-2</v>
      </c>
      <c r="M55" s="17">
        <v>0.04</v>
      </c>
      <c r="N55" s="17">
        <v>2.81</v>
      </c>
      <c r="O55" s="17">
        <v>2.8999999999999998E-3</v>
      </c>
      <c r="P55" s="17">
        <v>2.0699999999999998</v>
      </c>
      <c r="Q55" s="17">
        <v>1.35</v>
      </c>
      <c r="R55" s="17">
        <v>0.98799999999999999</v>
      </c>
      <c r="S55" s="17">
        <v>0.78</v>
      </c>
      <c r="T55" s="17">
        <v>20081231</v>
      </c>
      <c r="U55" s="17">
        <v>20190731</v>
      </c>
      <c r="V55" s="17">
        <v>128</v>
      </c>
    </row>
    <row r="56" spans="1:22">
      <c r="A56" s="17" t="s">
        <v>1321</v>
      </c>
      <c r="B56" s="17">
        <v>3.3999999999999998E-3</v>
      </c>
      <c r="C56" s="17">
        <v>3.1899999999999998E-2</v>
      </c>
      <c r="D56" s="17">
        <v>2.1399999999999999E-2</v>
      </c>
      <c r="E56" s="17">
        <v>3.32E-2</v>
      </c>
      <c r="F56" s="17">
        <v>4.1799999999999997E-2</v>
      </c>
      <c r="G56" s="17">
        <v>-8.3999999999999995E-3</v>
      </c>
      <c r="H56" s="17">
        <v>3.1399999999999997E-2</v>
      </c>
      <c r="I56" s="17">
        <v>1.4999999999999999E-2</v>
      </c>
      <c r="J56" s="17">
        <v>3.1199999999999999E-2</v>
      </c>
      <c r="K56" s="17">
        <v>1.5699999999999999E-2</v>
      </c>
      <c r="L56" s="17">
        <v>1.67E-2</v>
      </c>
      <c r="M56" s="17">
        <v>2.1000000000000001E-2</v>
      </c>
      <c r="N56" s="17">
        <v>1.28</v>
      </c>
      <c r="O56" s="17">
        <v>1.8E-3</v>
      </c>
      <c r="P56" s="17">
        <v>1</v>
      </c>
      <c r="Q56" s="17">
        <v>0.93</v>
      </c>
      <c r="R56" s="17">
        <v>0.99199999999999999</v>
      </c>
      <c r="S56" s="17">
        <v>0.97</v>
      </c>
      <c r="T56" s="17">
        <v>20081231</v>
      </c>
      <c r="U56" s="17">
        <v>20190731</v>
      </c>
      <c r="V56" s="17">
        <v>128</v>
      </c>
    </row>
    <row r="57" spans="1:22">
      <c r="A57" s="17" t="s">
        <v>1322</v>
      </c>
      <c r="B57" s="17">
        <v>3.8300000000000001E-2</v>
      </c>
      <c r="C57" s="17">
        <v>4.8500000000000001E-2</v>
      </c>
      <c r="D57" s="17">
        <v>3.1899999999999998E-2</v>
      </c>
      <c r="E57" s="17">
        <v>3.49E-2</v>
      </c>
      <c r="F57" s="17">
        <v>6.0400000000000002E-2</v>
      </c>
      <c r="G57" s="17">
        <v>9.4999999999999998E-3</v>
      </c>
      <c r="H57" s="17">
        <v>5.9400000000000001E-2</v>
      </c>
      <c r="I57" s="17">
        <v>3.6600000000000001E-2</v>
      </c>
      <c r="J57" s="17">
        <v>3.2800000000000003E-2</v>
      </c>
      <c r="K57" s="17">
        <v>3.3300000000000003E-2</v>
      </c>
      <c r="L57" s="17">
        <v>3.3000000000000002E-2</v>
      </c>
      <c r="M57" s="17">
        <v>3.7999999999999999E-2</v>
      </c>
      <c r="N57" s="17">
        <v>2.39</v>
      </c>
      <c r="O57" s="17">
        <v>1.9E-3</v>
      </c>
      <c r="P57" s="17">
        <v>1.38</v>
      </c>
      <c r="Q57" s="17">
        <v>0.88</v>
      </c>
      <c r="R57" s="17">
        <v>0.99199999999999999</v>
      </c>
      <c r="S57" s="17">
        <v>0.86</v>
      </c>
      <c r="T57" s="17">
        <v>20081231</v>
      </c>
      <c r="U57" s="17">
        <v>20190731</v>
      </c>
      <c r="V57" s="17">
        <v>128</v>
      </c>
    </row>
    <row r="58" spans="1:22">
      <c r="A58" s="17" t="s">
        <v>1323</v>
      </c>
      <c r="B58" s="17">
        <v>2.2200000000000001E-2</v>
      </c>
      <c r="C58" s="17">
        <v>6.1999999999999998E-3</v>
      </c>
      <c r="D58" s="17">
        <v>1.8200000000000001E-2</v>
      </c>
      <c r="E58" s="17">
        <v>1.7999999999999999E-2</v>
      </c>
      <c r="F58" s="17">
        <v>2.7099999999999999E-2</v>
      </c>
      <c r="G58" s="17">
        <v>1.5299999999999999E-2</v>
      </c>
      <c r="H58" s="17">
        <v>2.3599999999999999E-2</v>
      </c>
      <c r="I58" s="17">
        <v>2.8299999999999999E-2</v>
      </c>
      <c r="J58" s="17">
        <v>-9.9000000000000008E-3</v>
      </c>
      <c r="K58" s="17">
        <v>5.3E-3</v>
      </c>
      <c r="L58" s="17">
        <v>3.8E-3</v>
      </c>
      <c r="M58" s="17">
        <v>1.4999999999999999E-2</v>
      </c>
      <c r="N58" s="17">
        <v>1.19</v>
      </c>
      <c r="O58" s="34">
        <v>5.0000000000000001E-4</v>
      </c>
      <c r="P58" s="17">
        <v>0.49</v>
      </c>
      <c r="Q58" s="17">
        <v>0.28000000000000003</v>
      </c>
      <c r="R58" s="17">
        <v>0.999</v>
      </c>
      <c r="S58" s="17">
        <v>0.69</v>
      </c>
      <c r="T58" s="17">
        <v>20081231</v>
      </c>
      <c r="U58" s="17">
        <v>20190731</v>
      </c>
      <c r="V58" s="17">
        <v>128</v>
      </c>
    </row>
    <row r="59" spans="1:22">
      <c r="A59" s="17" t="s">
        <v>1324</v>
      </c>
      <c r="B59" s="17">
        <v>1.66E-2</v>
      </c>
      <c r="C59" s="17">
        <v>0.02</v>
      </c>
      <c r="D59" s="17">
        <v>3.0599999999999999E-2</v>
      </c>
      <c r="E59" s="17">
        <v>3.4200000000000001E-2</v>
      </c>
      <c r="F59" s="17">
        <v>1.7500000000000002E-2</v>
      </c>
      <c r="G59" s="17">
        <v>1.8599999999999998E-2</v>
      </c>
      <c r="H59" s="17">
        <v>1.7500000000000002E-2</v>
      </c>
      <c r="I59" s="17">
        <v>1.21E-2</v>
      </c>
      <c r="J59" s="17">
        <v>2.93E-2</v>
      </c>
      <c r="K59" s="17">
        <v>2.18E-2</v>
      </c>
      <c r="L59" s="17">
        <v>3.8399999999999997E-2</v>
      </c>
      <c r="M59" s="17">
        <v>2.3E-2</v>
      </c>
      <c r="N59" s="17">
        <v>2.37</v>
      </c>
      <c r="O59" s="17">
        <v>1.6999999999999999E-3</v>
      </c>
      <c r="P59" s="17">
        <v>1.83</v>
      </c>
      <c r="Q59" s="17">
        <v>0.85</v>
      </c>
      <c r="R59" s="17">
        <v>0.98099999999999998</v>
      </c>
      <c r="S59" s="17">
        <v>0.66</v>
      </c>
      <c r="T59" s="17">
        <v>20081231</v>
      </c>
      <c r="U59" s="17">
        <v>20190731</v>
      </c>
      <c r="V59" s="17">
        <v>128</v>
      </c>
    </row>
    <row r="60" spans="1:22">
      <c r="A60" s="17" t="s">
        <v>1325</v>
      </c>
      <c r="B60" s="17">
        <v>3.5000000000000001E-3</v>
      </c>
      <c r="C60" s="17">
        <v>2.9399999999999999E-2</v>
      </c>
      <c r="D60" s="17">
        <v>1.8700000000000001E-2</v>
      </c>
      <c r="E60" s="17">
        <v>3.2599999999999997E-2</v>
      </c>
      <c r="F60" s="17">
        <v>4.02E-2</v>
      </c>
      <c r="G60" s="17">
        <v>-9.4999999999999998E-3</v>
      </c>
      <c r="H60" s="17">
        <v>3.4099999999999998E-2</v>
      </c>
      <c r="I60" s="17">
        <v>1.67E-2</v>
      </c>
      <c r="J60" s="17">
        <v>3.1800000000000002E-2</v>
      </c>
      <c r="K60" s="17">
        <v>1.46E-2</v>
      </c>
      <c r="L60" s="17">
        <v>1.5800000000000002E-2</v>
      </c>
      <c r="M60" s="17">
        <v>2.1000000000000001E-2</v>
      </c>
      <c r="N60" s="17">
        <v>1.26</v>
      </c>
      <c r="O60" s="17">
        <v>1.6999999999999999E-3</v>
      </c>
      <c r="P60" s="17">
        <v>0.97</v>
      </c>
      <c r="Q60" s="17">
        <v>0.88</v>
      </c>
      <c r="R60" s="17">
        <v>0.99199999999999999</v>
      </c>
      <c r="S60" s="17">
        <v>0.97</v>
      </c>
      <c r="T60" s="17">
        <v>20081231</v>
      </c>
      <c r="U60" s="17">
        <v>20190731</v>
      </c>
      <c r="V60" s="17">
        <v>128</v>
      </c>
    </row>
    <row r="61" spans="1:22">
      <c r="A61" s="17" t="s">
        <v>1326</v>
      </c>
      <c r="B61" s="17">
        <v>1.06E-2</v>
      </c>
      <c r="C61" s="34">
        <v>2.0000000000000001E-4</v>
      </c>
      <c r="D61" s="17">
        <v>1.0999999999999999E-2</v>
      </c>
      <c r="E61" s="17">
        <v>1.83E-2</v>
      </c>
      <c r="F61" s="17">
        <v>3.7000000000000002E-3</v>
      </c>
      <c r="G61" s="17">
        <v>0.02</v>
      </c>
      <c r="H61" s="17">
        <v>2.8999999999999998E-3</v>
      </c>
      <c r="I61" s="17">
        <v>1.5900000000000001E-2</v>
      </c>
      <c r="J61" s="17">
        <v>8.6E-3</v>
      </c>
      <c r="K61" s="17">
        <v>7.7999999999999996E-3</v>
      </c>
      <c r="L61" s="17">
        <v>2.69E-2</v>
      </c>
      <c r="M61" s="17">
        <v>1.0999999999999999E-2</v>
      </c>
      <c r="N61" s="17">
        <v>1.19</v>
      </c>
      <c r="O61" s="34">
        <v>5.9999999999999995E-4</v>
      </c>
      <c r="P61" s="17">
        <v>0.59</v>
      </c>
      <c r="Q61" s="17">
        <v>0.34</v>
      </c>
      <c r="R61" s="17">
        <v>0.998</v>
      </c>
      <c r="S61" s="17">
        <v>0.72</v>
      </c>
      <c r="T61" s="17">
        <v>20081231</v>
      </c>
      <c r="U61" s="17">
        <v>20190731</v>
      </c>
      <c r="V61" s="17">
        <v>128</v>
      </c>
    </row>
    <row r="62" spans="1:22">
      <c r="A62" s="17" t="s">
        <v>1327</v>
      </c>
      <c r="B62" s="17">
        <v>9.9000000000000008E-3</v>
      </c>
      <c r="C62" s="17">
        <v>-3.3999999999999998E-3</v>
      </c>
      <c r="D62" s="17">
        <v>1.9599999999999999E-2</v>
      </c>
      <c r="E62" s="17">
        <v>2.81E-2</v>
      </c>
      <c r="F62" s="17">
        <v>2.3800000000000002E-2</v>
      </c>
      <c r="G62" s="17">
        <v>1.32E-2</v>
      </c>
      <c r="H62" s="17">
        <v>1.66E-2</v>
      </c>
      <c r="I62" s="17">
        <v>6.4000000000000003E-3</v>
      </c>
      <c r="J62" s="17">
        <v>1.4500000000000001E-2</v>
      </c>
      <c r="K62" s="17">
        <v>1.7899999999999999E-2</v>
      </c>
      <c r="L62" s="17">
        <v>2.1600000000000001E-2</v>
      </c>
      <c r="M62" s="17">
        <v>1.4999999999999999E-2</v>
      </c>
      <c r="N62" s="17">
        <v>1.54</v>
      </c>
      <c r="O62" s="17">
        <v>1.1999999999999999E-3</v>
      </c>
      <c r="P62" s="17">
        <v>1.29</v>
      </c>
      <c r="Q62" s="17">
        <v>0.55000000000000004</v>
      </c>
      <c r="R62" s="17">
        <v>0.98</v>
      </c>
      <c r="S62" s="17">
        <v>0.69</v>
      </c>
      <c r="T62" s="17">
        <v>20081231</v>
      </c>
      <c r="U62" s="17">
        <v>20190731</v>
      </c>
      <c r="V62" s="17">
        <v>128</v>
      </c>
    </row>
    <row r="63" spans="1:22">
      <c r="A63" s="17" t="s">
        <v>1328</v>
      </c>
      <c r="B63" s="17">
        <v>1.6000000000000001E-3</v>
      </c>
      <c r="C63" s="17">
        <v>3.2000000000000001E-2</v>
      </c>
      <c r="D63" s="17">
        <v>1.95E-2</v>
      </c>
      <c r="E63" s="17">
        <v>1.9800000000000002E-2</v>
      </c>
      <c r="F63" s="17">
        <v>4.36E-2</v>
      </c>
      <c r="G63" s="17">
        <v>-5.1999999999999998E-3</v>
      </c>
      <c r="H63" s="17">
        <v>3.4299999999999997E-2</v>
      </c>
      <c r="I63" s="17">
        <v>1.04E-2</v>
      </c>
      <c r="J63" s="17">
        <v>3.5400000000000001E-2</v>
      </c>
      <c r="K63" s="17">
        <v>1.2500000000000001E-2</v>
      </c>
      <c r="L63" s="17">
        <v>2.2800000000000001E-2</v>
      </c>
      <c r="M63" s="17">
        <v>2.1000000000000001E-2</v>
      </c>
      <c r="N63" s="17">
        <v>1.22</v>
      </c>
      <c r="O63" s="17">
        <v>1.6999999999999999E-3</v>
      </c>
      <c r="P63" s="17">
        <v>0.93</v>
      </c>
      <c r="Q63" s="17">
        <v>0.84</v>
      </c>
      <c r="R63" s="17">
        <v>0.99099999999999999</v>
      </c>
      <c r="S63" s="17">
        <v>0.97</v>
      </c>
      <c r="T63" s="17">
        <v>20081231</v>
      </c>
      <c r="U63" s="17">
        <v>20190731</v>
      </c>
      <c r="V63" s="17">
        <v>128</v>
      </c>
    </row>
    <row r="64" spans="1:22">
      <c r="A64" s="17" t="s">
        <v>1329</v>
      </c>
      <c r="B64" s="17">
        <v>3.4500000000000003E-2</v>
      </c>
      <c r="C64" s="17">
        <v>4.6399999999999997E-2</v>
      </c>
      <c r="D64" s="17">
        <v>3.09E-2</v>
      </c>
      <c r="E64" s="17">
        <v>4.0500000000000001E-2</v>
      </c>
      <c r="F64" s="17">
        <v>5.4899999999999997E-2</v>
      </c>
      <c r="G64" s="17">
        <v>-2E-3</v>
      </c>
      <c r="H64" s="17">
        <v>5.5500000000000001E-2</v>
      </c>
      <c r="I64" s="17">
        <v>2.93E-2</v>
      </c>
      <c r="J64" s="17">
        <v>3.56E-2</v>
      </c>
      <c r="K64" s="17">
        <v>3.5000000000000003E-2</v>
      </c>
      <c r="L64" s="17">
        <v>1.8499999999999999E-2</v>
      </c>
      <c r="M64" s="17">
        <v>3.5000000000000003E-2</v>
      </c>
      <c r="N64" s="17">
        <v>1.98</v>
      </c>
      <c r="O64" s="17">
        <v>1.8E-3</v>
      </c>
      <c r="P64" s="17">
        <v>1.27</v>
      </c>
      <c r="Q64" s="17">
        <v>0.91</v>
      </c>
      <c r="R64" s="17">
        <v>0.99199999999999999</v>
      </c>
      <c r="S64" s="17">
        <v>0.9</v>
      </c>
      <c r="T64" s="17">
        <v>20081231</v>
      </c>
      <c r="U64" s="17">
        <v>20190731</v>
      </c>
      <c r="V64" s="17">
        <v>128</v>
      </c>
    </row>
    <row r="65" spans="1:22">
      <c r="A65" s="17" t="s">
        <v>588</v>
      </c>
      <c r="B65" s="17">
        <v>4.1000000000000003E-3</v>
      </c>
      <c r="C65" s="17">
        <v>3.2000000000000001E-2</v>
      </c>
      <c r="D65" s="17">
        <v>5.0000000000000001E-3</v>
      </c>
      <c r="E65" s="17">
        <v>1.8800000000000001E-2</v>
      </c>
      <c r="F65" s="17">
        <v>2.5999999999999999E-2</v>
      </c>
      <c r="G65" s="17">
        <v>-1.83E-2</v>
      </c>
      <c r="H65" s="17">
        <v>1.89E-2</v>
      </c>
      <c r="I65" s="17">
        <v>-2.7300000000000001E-2</v>
      </c>
      <c r="J65" s="17">
        <v>1.43E-2</v>
      </c>
      <c r="K65" s="17">
        <v>-2.29E-2</v>
      </c>
      <c r="L65" s="17">
        <v>1.9699999999999999E-2</v>
      </c>
      <c r="M65" s="17">
        <v>6.0000000000000001E-3</v>
      </c>
      <c r="N65" s="17">
        <v>0.43</v>
      </c>
      <c r="O65" s="17">
        <v>1E-3</v>
      </c>
      <c r="P65" s="17">
        <v>0.73</v>
      </c>
      <c r="Q65" s="17">
        <v>0.34</v>
      </c>
      <c r="R65" s="17">
        <v>0.999</v>
      </c>
      <c r="S65" s="17">
        <v>0.87</v>
      </c>
      <c r="T65" s="17">
        <v>20081231</v>
      </c>
      <c r="U65" s="17">
        <v>20190731</v>
      </c>
      <c r="V65" s="17">
        <v>128</v>
      </c>
    </row>
    <row r="66" spans="1:22">
      <c r="A66" s="17" t="s">
        <v>1330</v>
      </c>
      <c r="B66" s="17">
        <v>5.5999999999999999E-3</v>
      </c>
      <c r="C66" s="17">
        <v>3.4000000000000002E-2</v>
      </c>
      <c r="D66" s="17">
        <v>6.8999999999999999E-3</v>
      </c>
      <c r="E66" s="17">
        <v>2.1499999999999998E-2</v>
      </c>
      <c r="F66" s="17">
        <v>2.93E-2</v>
      </c>
      <c r="G66" s="17">
        <v>-1.9800000000000002E-2</v>
      </c>
      <c r="H66" s="17">
        <v>1.49E-2</v>
      </c>
      <c r="I66" s="17">
        <v>-2.8000000000000001E-2</v>
      </c>
      <c r="J66" s="17">
        <v>2.1899999999999999E-2</v>
      </c>
      <c r="K66" s="17">
        <v>-2.23E-2</v>
      </c>
      <c r="L66" s="17">
        <v>2.1299999999999999E-2</v>
      </c>
      <c r="M66" s="17">
        <v>7.0000000000000001E-3</v>
      </c>
      <c r="N66" s="17">
        <v>0.5</v>
      </c>
      <c r="O66" s="17">
        <v>1.1000000000000001E-3</v>
      </c>
      <c r="P66" s="17">
        <v>0.8</v>
      </c>
      <c r="Q66" s="17">
        <v>0.4</v>
      </c>
      <c r="R66" s="17">
        <v>0.999</v>
      </c>
      <c r="S66" s="17">
        <v>0.87</v>
      </c>
      <c r="T66" s="17">
        <v>20081231</v>
      </c>
      <c r="U66" s="17">
        <v>20190731</v>
      </c>
      <c r="V66" s="17">
        <v>128</v>
      </c>
    </row>
    <row r="67" spans="1:22">
      <c r="A67" s="17" t="s">
        <v>1331</v>
      </c>
      <c r="B67" s="17">
        <v>-1E-3</v>
      </c>
      <c r="C67" s="17">
        <v>4.6699999999999998E-2</v>
      </c>
      <c r="D67" s="17">
        <v>6.8999999999999999E-3</v>
      </c>
      <c r="E67" s="17">
        <v>2.2499999999999999E-2</v>
      </c>
      <c r="F67" s="17">
        <v>3.56E-2</v>
      </c>
      <c r="G67" s="17">
        <v>-3.95E-2</v>
      </c>
      <c r="H67" s="17">
        <v>3.85E-2</v>
      </c>
      <c r="I67" s="17">
        <v>-3.1E-2</v>
      </c>
      <c r="J67" s="17">
        <v>2.4899999999999999E-2</v>
      </c>
      <c r="K67" s="17">
        <v>-1.4200000000000001E-2</v>
      </c>
      <c r="L67" s="17">
        <v>2E-3</v>
      </c>
      <c r="M67" s="17">
        <v>8.9999999999999993E-3</v>
      </c>
      <c r="N67" s="17">
        <v>0.4</v>
      </c>
      <c r="O67" s="17">
        <v>1.1999999999999999E-3</v>
      </c>
      <c r="P67" s="17">
        <v>0.52</v>
      </c>
      <c r="Q67" s="17">
        <v>0.48</v>
      </c>
      <c r="R67" s="17">
        <v>0.999</v>
      </c>
      <c r="S67" s="17">
        <v>0.92</v>
      </c>
      <c r="T67" s="17">
        <v>20081231</v>
      </c>
      <c r="U67" s="17">
        <v>20190731</v>
      </c>
      <c r="V67" s="17">
        <v>128</v>
      </c>
    </row>
    <row r="68" spans="1:22">
      <c r="A68" s="17" t="s">
        <v>1332</v>
      </c>
      <c r="B68" s="34">
        <v>-8.0000000000000004E-4</v>
      </c>
      <c r="C68" s="17">
        <v>4.6699999999999998E-2</v>
      </c>
      <c r="D68" s="17">
        <v>6.7000000000000002E-3</v>
      </c>
      <c r="E68" s="17">
        <v>2.2100000000000002E-2</v>
      </c>
      <c r="F68" s="17">
        <v>3.73E-2</v>
      </c>
      <c r="G68" s="17">
        <v>-3.9899999999999998E-2</v>
      </c>
      <c r="H68" s="17">
        <v>3.8800000000000001E-2</v>
      </c>
      <c r="I68" s="17">
        <v>-3.09E-2</v>
      </c>
      <c r="J68" s="17">
        <v>2.52E-2</v>
      </c>
      <c r="K68" s="17">
        <v>-1.4200000000000001E-2</v>
      </c>
      <c r="L68" s="17">
        <v>2.0999999999999999E-3</v>
      </c>
      <c r="M68" s="17">
        <v>8.9999999999999993E-3</v>
      </c>
      <c r="N68" s="17">
        <v>0.41</v>
      </c>
      <c r="O68" s="17">
        <v>1.1999999999999999E-3</v>
      </c>
      <c r="P68" s="17">
        <v>0.53</v>
      </c>
      <c r="Q68" s="17">
        <v>0.48</v>
      </c>
      <c r="R68" s="17">
        <v>0.999</v>
      </c>
      <c r="S68" s="17">
        <v>0.92</v>
      </c>
      <c r="T68" s="17">
        <v>20081231</v>
      </c>
      <c r="U68" s="17">
        <v>20190731</v>
      </c>
      <c r="V68" s="17">
        <v>128</v>
      </c>
    </row>
    <row r="69" spans="1:22">
      <c r="A69" s="17" t="s">
        <v>1333</v>
      </c>
      <c r="B69" s="17">
        <v>4.5999999999999999E-3</v>
      </c>
      <c r="C69" s="17">
        <v>2.9100000000000001E-2</v>
      </c>
      <c r="D69" s="34">
        <v>5.9999999999999995E-4</v>
      </c>
      <c r="E69" s="17">
        <v>1.9800000000000002E-2</v>
      </c>
      <c r="F69" s="17">
        <v>3.6499999999999998E-2</v>
      </c>
      <c r="G69" s="17">
        <v>-2.29E-2</v>
      </c>
      <c r="H69" s="17">
        <v>2.5499999999999998E-2</v>
      </c>
      <c r="I69" s="17">
        <v>9.5999999999999992E-3</v>
      </c>
      <c r="J69" s="17">
        <v>2.0799999999999999E-2</v>
      </c>
      <c r="K69" s="17">
        <v>-4.4999999999999997E-3</v>
      </c>
      <c r="L69" s="17">
        <v>-2.5000000000000001E-3</v>
      </c>
      <c r="M69" s="17">
        <v>1.0999999999999999E-2</v>
      </c>
      <c r="N69" s="17">
        <v>0.64</v>
      </c>
      <c r="O69" s="34">
        <v>8.9999999999999998E-4</v>
      </c>
      <c r="P69" s="17">
        <v>0.49</v>
      </c>
      <c r="Q69" s="17">
        <v>0.34</v>
      </c>
      <c r="R69" s="17">
        <v>0.999</v>
      </c>
      <c r="S69" s="17">
        <v>0.95</v>
      </c>
      <c r="T69" s="17">
        <v>20081231</v>
      </c>
      <c r="U69" s="17">
        <v>20190731</v>
      </c>
      <c r="V69" s="17">
        <v>128</v>
      </c>
    </row>
    <row r="70" spans="1:22">
      <c r="A70" s="17" t="s">
        <v>1334</v>
      </c>
      <c r="B70" s="17">
        <v>-9.5999999999999992E-3</v>
      </c>
      <c r="C70" s="17">
        <v>2.4299999999999999E-2</v>
      </c>
      <c r="D70" s="17">
        <v>3.15E-2</v>
      </c>
      <c r="E70" s="17">
        <v>3.4700000000000002E-2</v>
      </c>
      <c r="F70" s="17">
        <v>2.9399999999999999E-2</v>
      </c>
      <c r="G70" s="17">
        <v>2.8E-3</v>
      </c>
      <c r="H70" s="17">
        <v>2.8400000000000002E-2</v>
      </c>
      <c r="I70" s="17">
        <v>1.3100000000000001E-2</v>
      </c>
      <c r="J70" s="17">
        <v>4.1500000000000002E-2</v>
      </c>
      <c r="K70" s="17">
        <v>1.5E-3</v>
      </c>
      <c r="L70" s="17">
        <v>2.5100000000000001E-2</v>
      </c>
      <c r="M70" s="17">
        <v>0.02</v>
      </c>
      <c r="N70" s="17">
        <v>1.56</v>
      </c>
      <c r="O70" s="17">
        <v>1.5E-3</v>
      </c>
      <c r="P70" s="17">
        <v>1.0900000000000001</v>
      </c>
      <c r="Q70" s="17">
        <v>0.71</v>
      </c>
      <c r="R70" s="17">
        <v>0.98799999999999999</v>
      </c>
      <c r="S70" s="17">
        <v>0.9</v>
      </c>
      <c r="T70" s="17">
        <v>20081231</v>
      </c>
      <c r="U70" s="17">
        <v>20190731</v>
      </c>
      <c r="V70" s="17">
        <v>128</v>
      </c>
    </row>
    <row r="71" spans="1:22">
      <c r="A71" s="17" t="s">
        <v>1548</v>
      </c>
      <c r="B71" s="17">
        <v>5.7599999999999998E-2</v>
      </c>
      <c r="C71" s="17">
        <v>7.3099999999999998E-2</v>
      </c>
      <c r="D71" s="17">
        <v>7.8799999999999995E-2</v>
      </c>
      <c r="E71" s="17">
        <v>5.3699999999999998E-2</v>
      </c>
      <c r="F71" s="17">
        <v>4.7100000000000003E-2</v>
      </c>
      <c r="G71" s="17">
        <v>4.6100000000000002E-2</v>
      </c>
      <c r="H71" s="17">
        <v>7.7100000000000002E-2</v>
      </c>
      <c r="I71" s="17">
        <v>4.19E-2</v>
      </c>
      <c r="J71" s="17">
        <v>3.9E-2</v>
      </c>
      <c r="K71" s="34">
        <v>1E-4</v>
      </c>
      <c r="L71" s="17">
        <v>4.9000000000000002E-2</v>
      </c>
      <c r="M71" s="17">
        <v>5.0999999999999997E-2</v>
      </c>
      <c r="N71" s="17">
        <v>3.21</v>
      </c>
      <c r="O71" s="17">
        <v>4.1000000000000003E-3</v>
      </c>
      <c r="P71" s="17">
        <v>2.68</v>
      </c>
      <c r="Q71" s="17">
        <v>1.1000000000000001</v>
      </c>
      <c r="R71" s="17">
        <v>0.39900000000000002</v>
      </c>
      <c r="S71" s="17">
        <v>0.69</v>
      </c>
      <c r="T71" s="17">
        <v>20081231</v>
      </c>
      <c r="U71" s="17">
        <v>20190731</v>
      </c>
      <c r="V71" s="17">
        <v>128</v>
      </c>
    </row>
    <row r="72" spans="1:22">
      <c r="A72" s="17" t="s">
        <v>1549</v>
      </c>
      <c r="B72" s="17">
        <v>4.2000000000000003E-2</v>
      </c>
      <c r="C72" s="17">
        <v>5.5899999999999998E-2</v>
      </c>
      <c r="D72" s="17">
        <v>6.7100000000000007E-2</v>
      </c>
      <c r="E72" s="17">
        <v>4.9299999999999997E-2</v>
      </c>
      <c r="F72" s="17">
        <v>3.3099999999999997E-2</v>
      </c>
      <c r="G72" s="17">
        <v>4.5100000000000001E-2</v>
      </c>
      <c r="H72" s="17">
        <v>4.8599999999999997E-2</v>
      </c>
      <c r="I72" s="17">
        <v>3.3599999999999998E-2</v>
      </c>
      <c r="J72" s="17">
        <v>3.4700000000000002E-2</v>
      </c>
      <c r="K72" s="17">
        <v>5.7999999999999996E-3</v>
      </c>
      <c r="L72" s="17">
        <v>3.4200000000000001E-2</v>
      </c>
      <c r="M72" s="17">
        <v>4.1000000000000002E-2</v>
      </c>
      <c r="N72" s="17">
        <v>2.72</v>
      </c>
      <c r="O72" s="17">
        <v>3.2000000000000002E-3</v>
      </c>
      <c r="P72" s="17">
        <v>2.2200000000000002</v>
      </c>
      <c r="Q72" s="17">
        <v>0.89</v>
      </c>
      <c r="R72" s="17">
        <v>0.40600000000000003</v>
      </c>
      <c r="S72" s="17">
        <v>0.7</v>
      </c>
      <c r="T72" s="17">
        <v>20081231</v>
      </c>
      <c r="U72" s="17">
        <v>20190731</v>
      </c>
      <c r="V72" s="17">
        <v>128</v>
      </c>
    </row>
    <row r="73" spans="1:22">
      <c r="A73" s="17" t="s">
        <v>1335</v>
      </c>
      <c r="B73" s="17">
        <v>1.54E-2</v>
      </c>
      <c r="C73" s="17">
        <v>4.4200000000000003E-2</v>
      </c>
      <c r="D73" s="17">
        <v>2.5499999999999998E-2</v>
      </c>
      <c r="E73" s="17">
        <v>2.7300000000000001E-2</v>
      </c>
      <c r="F73" s="17">
        <v>3.9100000000000003E-2</v>
      </c>
      <c r="G73" s="17">
        <v>2.6100000000000002E-2</v>
      </c>
      <c r="H73" s="17">
        <v>3.0099999999999998E-2</v>
      </c>
      <c r="I73" s="17">
        <v>2.53E-2</v>
      </c>
      <c r="J73" s="17">
        <v>4.8099999999999997E-2</v>
      </c>
      <c r="K73" s="17">
        <v>3.6499999999999998E-2</v>
      </c>
      <c r="L73" s="17">
        <v>3.2899999999999999E-2</v>
      </c>
      <c r="M73" s="17">
        <v>3.2000000000000001E-2</v>
      </c>
      <c r="N73" s="17">
        <v>2.5299999999999998</v>
      </c>
      <c r="O73" s="17">
        <v>1.9E-3</v>
      </c>
      <c r="P73" s="17">
        <v>1.58</v>
      </c>
      <c r="Q73" s="17">
        <v>0.85</v>
      </c>
      <c r="R73" s="17">
        <v>0.99199999999999999</v>
      </c>
      <c r="S73" s="17">
        <v>0.77</v>
      </c>
      <c r="T73" s="17">
        <v>20081231</v>
      </c>
      <c r="U73" s="17">
        <v>20190731</v>
      </c>
      <c r="V73" s="17">
        <v>128</v>
      </c>
    </row>
    <row r="74" spans="1:22">
      <c r="A74" s="17" t="s">
        <v>1336</v>
      </c>
      <c r="B74" s="17">
        <v>1.6299999999999999E-2</v>
      </c>
      <c r="C74" s="17">
        <v>4.24E-2</v>
      </c>
      <c r="D74" s="17">
        <v>2.1499999999999998E-2</v>
      </c>
      <c r="E74" s="17">
        <v>3.0800000000000001E-2</v>
      </c>
      <c r="F74" s="17">
        <v>3.7699999999999997E-2</v>
      </c>
      <c r="G74" s="17">
        <v>2.35E-2</v>
      </c>
      <c r="H74" s="17">
        <v>2.7799999999999998E-2</v>
      </c>
      <c r="I74" s="17">
        <v>3.1099999999999999E-2</v>
      </c>
      <c r="J74" s="17">
        <v>3.1E-2</v>
      </c>
      <c r="K74" s="17">
        <v>2.9600000000000001E-2</v>
      </c>
      <c r="L74" s="17">
        <v>2.07E-2</v>
      </c>
      <c r="M74" s="17">
        <v>2.9000000000000001E-2</v>
      </c>
      <c r="N74" s="17">
        <v>2.2999999999999998</v>
      </c>
      <c r="O74" s="17">
        <v>1.9E-3</v>
      </c>
      <c r="P74" s="17">
        <v>1.7</v>
      </c>
      <c r="Q74" s="17">
        <v>0.83</v>
      </c>
      <c r="R74" s="17">
        <v>0.96799999999999997</v>
      </c>
      <c r="S74" s="17">
        <v>0.76</v>
      </c>
      <c r="T74" s="17">
        <v>20081231</v>
      </c>
      <c r="U74" s="17">
        <v>20190731</v>
      </c>
      <c r="V74" s="17">
        <v>128</v>
      </c>
    </row>
    <row r="75" spans="1:22">
      <c r="A75" s="17" t="s">
        <v>1337</v>
      </c>
      <c r="B75" s="17">
        <v>1.0699999999999999E-2</v>
      </c>
      <c r="C75" s="17">
        <v>4.7300000000000002E-2</v>
      </c>
      <c r="D75" s="17">
        <v>2.7400000000000001E-2</v>
      </c>
      <c r="E75" s="17">
        <v>3.5400000000000001E-2</v>
      </c>
      <c r="F75" s="17">
        <v>4.2799999999999998E-2</v>
      </c>
      <c r="G75" s="17">
        <v>2.4799999999999999E-2</v>
      </c>
      <c r="H75" s="17">
        <v>3.0300000000000001E-2</v>
      </c>
      <c r="I75" s="17">
        <v>3.1199999999999999E-2</v>
      </c>
      <c r="J75" s="17">
        <v>4.0599999999999997E-2</v>
      </c>
      <c r="K75" s="17">
        <v>3.6299999999999999E-2</v>
      </c>
      <c r="L75" s="17">
        <v>2.5899999999999999E-2</v>
      </c>
      <c r="M75" s="17">
        <v>3.2000000000000001E-2</v>
      </c>
      <c r="N75" s="17">
        <v>2.56</v>
      </c>
      <c r="O75" s="17">
        <v>2.0999999999999999E-3</v>
      </c>
      <c r="P75" s="17">
        <v>1.75</v>
      </c>
      <c r="Q75" s="17">
        <v>0.9</v>
      </c>
      <c r="R75" s="17">
        <v>0.99199999999999999</v>
      </c>
      <c r="S75" s="17">
        <v>0.77</v>
      </c>
      <c r="T75" s="17">
        <v>20081231</v>
      </c>
      <c r="U75" s="17">
        <v>20190731</v>
      </c>
      <c r="V75" s="17">
        <v>128</v>
      </c>
    </row>
    <row r="76" spans="1:22">
      <c r="A76" s="17" t="s">
        <v>1338</v>
      </c>
      <c r="B76" s="17">
        <v>1.8499999999999999E-2</v>
      </c>
      <c r="C76" s="17">
        <v>4.8500000000000001E-2</v>
      </c>
      <c r="D76" s="17">
        <v>1.9900000000000001E-2</v>
      </c>
      <c r="E76" s="17">
        <v>3.32E-2</v>
      </c>
      <c r="F76" s="17">
        <v>4.07E-2</v>
      </c>
      <c r="G76" s="17">
        <v>2.63E-2</v>
      </c>
      <c r="H76" s="17">
        <v>2.5600000000000001E-2</v>
      </c>
      <c r="I76" s="17">
        <v>3.2199999999999999E-2</v>
      </c>
      <c r="J76" s="17">
        <v>3.61E-2</v>
      </c>
      <c r="K76" s="17">
        <v>3.4599999999999999E-2</v>
      </c>
      <c r="L76" s="17">
        <v>1.55E-2</v>
      </c>
      <c r="M76" s="17">
        <v>3.1E-2</v>
      </c>
      <c r="N76" s="17">
        <v>2.56</v>
      </c>
      <c r="O76" s="17">
        <v>2E-3</v>
      </c>
      <c r="P76" s="17">
        <v>1.77</v>
      </c>
      <c r="Q76" s="17">
        <v>0.87</v>
      </c>
      <c r="R76" s="17">
        <v>0.99199999999999999</v>
      </c>
      <c r="S76" s="17">
        <v>0.77</v>
      </c>
      <c r="T76" s="17">
        <v>20081231</v>
      </c>
      <c r="U76" s="17">
        <v>20190731</v>
      </c>
      <c r="V76" s="17">
        <v>128</v>
      </c>
    </row>
    <row r="77" spans="1:22">
      <c r="A77" s="17" t="s">
        <v>1339</v>
      </c>
      <c r="B77" s="17">
        <v>3.2899999999999999E-2</v>
      </c>
      <c r="C77" s="17">
        <v>5.8400000000000001E-2</v>
      </c>
      <c r="D77" s="17">
        <v>3.6600000000000001E-2</v>
      </c>
      <c r="E77" s="17">
        <v>4.2900000000000001E-2</v>
      </c>
      <c r="F77" s="17">
        <v>5.33E-2</v>
      </c>
      <c r="G77" s="17">
        <v>5.4999999999999997E-3</v>
      </c>
      <c r="H77" s="17">
        <v>0.04</v>
      </c>
      <c r="I77" s="17">
        <v>1.3100000000000001E-2</v>
      </c>
      <c r="J77" s="17">
        <v>5.4800000000000001E-2</v>
      </c>
      <c r="K77" s="17">
        <v>3.56E-2</v>
      </c>
      <c r="L77" s="17">
        <v>1.4999999999999999E-2</v>
      </c>
      <c r="M77" s="17">
        <v>3.5999999999999997E-2</v>
      </c>
      <c r="N77" s="17">
        <v>2.36</v>
      </c>
      <c r="O77" s="17">
        <v>3.3999999999999998E-3</v>
      </c>
      <c r="P77" s="17">
        <v>2.23</v>
      </c>
      <c r="Q77" s="17">
        <v>1.49</v>
      </c>
      <c r="R77" s="17">
        <v>0.94299999999999995</v>
      </c>
      <c r="S77" s="17">
        <v>0.78</v>
      </c>
      <c r="T77" s="17">
        <v>20081231</v>
      </c>
      <c r="U77" s="17">
        <v>20190731</v>
      </c>
      <c r="V77" s="17">
        <v>128</v>
      </c>
    </row>
    <row r="78" spans="1:22">
      <c r="A78" s="17" t="s">
        <v>1340</v>
      </c>
      <c r="B78" s="17">
        <v>2.7300000000000001E-2</v>
      </c>
      <c r="C78" s="17">
        <v>5.8400000000000001E-2</v>
      </c>
      <c r="D78" s="17">
        <v>4.0099999999999997E-2</v>
      </c>
      <c r="E78" s="17">
        <v>4.7100000000000003E-2</v>
      </c>
      <c r="F78" s="17">
        <v>5.7700000000000001E-2</v>
      </c>
      <c r="G78" s="17">
        <v>1.2999999999999999E-3</v>
      </c>
      <c r="H78" s="17">
        <v>4.2900000000000001E-2</v>
      </c>
      <c r="I78" s="17">
        <v>1.4500000000000001E-2</v>
      </c>
      <c r="J78" s="17">
        <v>5.62E-2</v>
      </c>
      <c r="K78" s="17">
        <v>3.3700000000000001E-2</v>
      </c>
      <c r="L78" s="17">
        <v>1.37E-2</v>
      </c>
      <c r="M78" s="17">
        <v>3.5999999999999997E-2</v>
      </c>
      <c r="N78" s="17">
        <v>2.27</v>
      </c>
      <c r="O78" s="17">
        <v>3.3999999999999998E-3</v>
      </c>
      <c r="P78" s="17">
        <v>2.11</v>
      </c>
      <c r="Q78" s="17">
        <v>1.49</v>
      </c>
      <c r="R78" s="17">
        <v>0.95</v>
      </c>
      <c r="S78" s="17">
        <v>0.78</v>
      </c>
      <c r="T78" s="17">
        <v>20081231</v>
      </c>
      <c r="U78" s="17">
        <v>20190731</v>
      </c>
      <c r="V78" s="17">
        <v>128</v>
      </c>
    </row>
    <row r="79" spans="1:22">
      <c r="A79" s="17" t="s">
        <v>736</v>
      </c>
      <c r="B79" s="17">
        <v>-7.7000000000000002E-3</v>
      </c>
      <c r="C79" s="17">
        <v>2.9000000000000001E-2</v>
      </c>
      <c r="D79" s="17">
        <v>1.5E-3</v>
      </c>
      <c r="E79" s="17">
        <v>-4.4000000000000003E-3</v>
      </c>
      <c r="F79" s="17">
        <v>1.21E-2</v>
      </c>
      <c r="G79" s="17">
        <v>-2.3999999999999998E-3</v>
      </c>
      <c r="H79" s="17">
        <v>1.18E-2</v>
      </c>
      <c r="I79" s="17">
        <v>1.9199999999999998E-2</v>
      </c>
      <c r="J79" s="17">
        <v>1.78E-2</v>
      </c>
      <c r="K79" s="17">
        <v>-2.7000000000000001E-3</v>
      </c>
      <c r="L79" s="17">
        <v>-4.3E-3</v>
      </c>
      <c r="M79" s="17">
        <v>7.0000000000000001E-3</v>
      </c>
      <c r="N79" s="17">
        <v>0.64</v>
      </c>
      <c r="O79" s="34">
        <v>5.0000000000000001E-4</v>
      </c>
      <c r="P79" s="17">
        <v>0.54</v>
      </c>
      <c r="Q79" s="17">
        <v>0.19</v>
      </c>
      <c r="R79" s="17">
        <v>0.998</v>
      </c>
      <c r="S79" s="17">
        <v>0.93</v>
      </c>
      <c r="T79" s="17">
        <v>20081231</v>
      </c>
      <c r="U79" s="17">
        <v>20190731</v>
      </c>
      <c r="V79" s="17">
        <v>128</v>
      </c>
    </row>
    <row r="80" spans="1:22">
      <c r="A80" s="17" t="s">
        <v>737</v>
      </c>
      <c r="B80" s="34">
        <v>-5.9999999999999995E-4</v>
      </c>
      <c r="C80" s="17">
        <v>2.81E-2</v>
      </c>
      <c r="D80" s="17">
        <v>6.4999999999999997E-3</v>
      </c>
      <c r="E80" s="17">
        <v>2.2000000000000001E-3</v>
      </c>
      <c r="F80" s="34">
        <v>-2.9999999999999997E-4</v>
      </c>
      <c r="G80" s="17">
        <v>3.3E-3</v>
      </c>
      <c r="H80" s="17">
        <v>1.9E-3</v>
      </c>
      <c r="I80" s="17">
        <v>3.3700000000000001E-2</v>
      </c>
      <c r="J80" s="17">
        <v>1.8599999999999998E-2</v>
      </c>
      <c r="K80" s="17">
        <v>8.0999999999999996E-3</v>
      </c>
      <c r="L80" s="17">
        <v>-1.84E-2</v>
      </c>
      <c r="M80" s="17">
        <v>8.0000000000000002E-3</v>
      </c>
      <c r="N80" s="17">
        <v>0.8</v>
      </c>
      <c r="O80" s="34">
        <v>5.9999999999999995E-4</v>
      </c>
      <c r="P80" s="17">
        <v>0.61</v>
      </c>
      <c r="Q80" s="17">
        <v>0.25</v>
      </c>
      <c r="R80" s="17">
        <v>0.998</v>
      </c>
      <c r="S80" s="17">
        <v>0.97</v>
      </c>
      <c r="T80" s="17">
        <v>20081231</v>
      </c>
      <c r="U80" s="17">
        <v>20190731</v>
      </c>
      <c r="V80" s="17">
        <v>128</v>
      </c>
    </row>
    <row r="81" spans="1:22">
      <c r="A81" s="17" t="s">
        <v>1341</v>
      </c>
      <c r="B81" s="17">
        <v>1.1299999999999999E-2</v>
      </c>
      <c r="C81" s="17">
        <v>1.4200000000000001E-2</v>
      </c>
      <c r="D81" s="17">
        <v>2.6599999999999999E-2</v>
      </c>
      <c r="E81" s="17">
        <v>1.5699999999999999E-2</v>
      </c>
      <c r="F81" s="17">
        <v>1.9E-2</v>
      </c>
      <c r="G81" s="17">
        <v>3.5999999999999999E-3</v>
      </c>
      <c r="H81" s="17">
        <v>8.3000000000000001E-3</v>
      </c>
      <c r="I81" s="17">
        <v>5.0000000000000001E-3</v>
      </c>
      <c r="J81" s="17">
        <v>2.9399999999999999E-2</v>
      </c>
      <c r="K81" s="17">
        <v>2.3599999999999999E-2</v>
      </c>
      <c r="L81" s="17">
        <v>1.5900000000000001E-2</v>
      </c>
      <c r="M81" s="17">
        <v>1.6E-2</v>
      </c>
      <c r="N81" s="17">
        <v>1.83</v>
      </c>
      <c r="O81" s="17">
        <v>1.5E-3</v>
      </c>
      <c r="P81" s="17">
        <v>1.5</v>
      </c>
      <c r="Q81" s="17">
        <v>0.7</v>
      </c>
      <c r="R81" s="17">
        <v>0.86399999999999999</v>
      </c>
      <c r="S81" s="17">
        <v>0.8</v>
      </c>
      <c r="T81" s="17">
        <v>20081231</v>
      </c>
      <c r="U81" s="17">
        <v>20190731</v>
      </c>
      <c r="V81" s="17">
        <v>128</v>
      </c>
    </row>
    <row r="82" spans="1:22">
      <c r="A82" s="17" t="s">
        <v>1342</v>
      </c>
      <c r="B82" s="17">
        <v>4.24E-2</v>
      </c>
      <c r="C82" s="17">
        <v>5.3699999999999998E-2</v>
      </c>
      <c r="D82" s="17">
        <v>4.7100000000000003E-2</v>
      </c>
      <c r="E82" s="17">
        <v>4.3299999999999998E-2</v>
      </c>
      <c r="F82" s="17">
        <v>4.1000000000000002E-2</v>
      </c>
      <c r="G82" s="17">
        <v>2.5399999999999999E-2</v>
      </c>
      <c r="H82" s="17">
        <v>3.4200000000000001E-2</v>
      </c>
      <c r="I82" s="17">
        <v>2.3099999999999999E-2</v>
      </c>
      <c r="J82" s="17">
        <v>5.4800000000000001E-2</v>
      </c>
      <c r="K82" s="17">
        <v>4.3499999999999997E-2</v>
      </c>
      <c r="L82" s="17">
        <v>3.4200000000000001E-2</v>
      </c>
      <c r="M82" s="17">
        <v>0.04</v>
      </c>
      <c r="N82" s="17">
        <v>3.45</v>
      </c>
      <c r="O82" s="17">
        <v>3.5000000000000001E-3</v>
      </c>
      <c r="P82" s="17">
        <v>2.92</v>
      </c>
      <c r="Q82" s="17">
        <v>1.61</v>
      </c>
      <c r="R82" s="17">
        <v>0.99199999999999999</v>
      </c>
      <c r="S82" s="17">
        <v>0.76</v>
      </c>
      <c r="T82" s="17">
        <v>20081231</v>
      </c>
      <c r="U82" s="17">
        <v>20190731</v>
      </c>
      <c r="V82" s="17">
        <v>128</v>
      </c>
    </row>
    <row r="83" spans="1:22">
      <c r="A83" s="17" t="s">
        <v>1343</v>
      </c>
      <c r="B83" s="17">
        <v>2.3699999999999999E-2</v>
      </c>
      <c r="C83" s="17">
        <v>5.2999999999999999E-2</v>
      </c>
      <c r="D83" s="17">
        <v>4.9399999999999999E-2</v>
      </c>
      <c r="E83" s="17">
        <v>4.5499999999999999E-2</v>
      </c>
      <c r="F83" s="17">
        <v>3.3700000000000001E-2</v>
      </c>
      <c r="G83" s="17">
        <v>2.1100000000000001E-2</v>
      </c>
      <c r="H83" s="17">
        <v>3.1899999999999998E-2</v>
      </c>
      <c r="I83" s="17">
        <v>3.32E-2</v>
      </c>
      <c r="J83" s="17">
        <v>5.0599999999999999E-2</v>
      </c>
      <c r="K83" s="17">
        <v>4.3799999999999999E-2</v>
      </c>
      <c r="L83" s="17">
        <v>4.24E-2</v>
      </c>
      <c r="M83" s="17">
        <v>3.9E-2</v>
      </c>
      <c r="N83" s="17">
        <v>3.53</v>
      </c>
      <c r="O83" s="17">
        <v>3.5000000000000001E-3</v>
      </c>
      <c r="P83" s="17">
        <v>3.05</v>
      </c>
      <c r="Q83" s="17">
        <v>1.65</v>
      </c>
      <c r="R83" s="17">
        <v>0.99199999999999999</v>
      </c>
      <c r="S83" s="17">
        <v>0.77</v>
      </c>
      <c r="T83" s="17">
        <v>20081231</v>
      </c>
      <c r="U83" s="17">
        <v>20190731</v>
      </c>
      <c r="V83" s="17">
        <v>128</v>
      </c>
    </row>
    <row r="84" spans="1:22">
      <c r="A84" s="17" t="s">
        <v>1344</v>
      </c>
      <c r="B84" s="17">
        <v>1.37E-2</v>
      </c>
      <c r="C84" s="17">
        <v>7.3000000000000001E-3</v>
      </c>
      <c r="D84" s="17">
        <v>1.7100000000000001E-2</v>
      </c>
      <c r="E84" s="17">
        <v>1.2200000000000001E-2</v>
      </c>
      <c r="F84" s="17">
        <v>1.8800000000000001E-2</v>
      </c>
      <c r="G84" s="17">
        <v>2.5999999999999999E-3</v>
      </c>
      <c r="H84" s="17">
        <v>0.02</v>
      </c>
      <c r="I84" s="17">
        <v>3.7000000000000002E-3</v>
      </c>
      <c r="J84" s="17">
        <v>2.4799999999999999E-2</v>
      </c>
      <c r="K84" s="17">
        <v>1.29E-2</v>
      </c>
      <c r="L84" s="17">
        <v>2.07E-2</v>
      </c>
      <c r="M84" s="17">
        <v>1.4E-2</v>
      </c>
      <c r="N84" s="17">
        <v>1.62</v>
      </c>
      <c r="O84" s="17">
        <v>1.8E-3</v>
      </c>
      <c r="P84" s="17">
        <v>1.86</v>
      </c>
      <c r="Q84" s="17">
        <v>0.74</v>
      </c>
      <c r="R84" s="17">
        <v>0.875</v>
      </c>
      <c r="S84" s="17">
        <v>0.86</v>
      </c>
      <c r="T84" s="17">
        <v>20081231</v>
      </c>
      <c r="U84" s="17">
        <v>20190731</v>
      </c>
      <c r="V84" s="17">
        <v>128</v>
      </c>
    </row>
    <row r="85" spans="1:22">
      <c r="A85" s="17" t="s">
        <v>1345</v>
      </c>
      <c r="B85" s="17">
        <v>2.4299999999999999E-2</v>
      </c>
      <c r="C85" s="17">
        <v>4.9700000000000001E-2</v>
      </c>
      <c r="D85" s="17">
        <v>3.5200000000000002E-2</v>
      </c>
      <c r="E85" s="17">
        <v>4.0599999999999997E-2</v>
      </c>
      <c r="F85" s="17">
        <v>5.45E-2</v>
      </c>
      <c r="G85" s="17">
        <v>6.3E-3</v>
      </c>
      <c r="H85" s="17">
        <v>3.49E-2</v>
      </c>
      <c r="I85" s="17">
        <v>3.1699999999999999E-2</v>
      </c>
      <c r="J85" s="17">
        <v>4.82E-2</v>
      </c>
      <c r="K85" s="17">
        <v>3.9699999999999999E-2</v>
      </c>
      <c r="L85" s="17">
        <v>1.55E-2</v>
      </c>
      <c r="M85" s="17">
        <v>3.5000000000000003E-2</v>
      </c>
      <c r="N85" s="17">
        <v>2.1800000000000002</v>
      </c>
      <c r="O85" s="17">
        <v>2.5000000000000001E-3</v>
      </c>
      <c r="P85" s="17">
        <v>1.62</v>
      </c>
      <c r="Q85" s="17">
        <v>1.06</v>
      </c>
      <c r="R85" s="17">
        <v>0.84899999999999998</v>
      </c>
      <c r="S85" s="17">
        <v>0.85</v>
      </c>
      <c r="T85" s="17">
        <v>20081231</v>
      </c>
      <c r="U85" s="17">
        <v>20190731</v>
      </c>
      <c r="V85" s="17">
        <v>128</v>
      </c>
    </row>
    <row r="86" spans="1:22">
      <c r="A86" s="17" t="s">
        <v>589</v>
      </c>
      <c r="B86" s="17">
        <v>0.03</v>
      </c>
      <c r="C86" s="17">
        <v>5.8599999999999999E-2</v>
      </c>
      <c r="D86" s="17">
        <v>4.65E-2</v>
      </c>
      <c r="E86" s="17">
        <v>5.5E-2</v>
      </c>
      <c r="F86" s="17">
        <v>6.3E-2</v>
      </c>
      <c r="G86" s="17">
        <v>1.7100000000000001E-2</v>
      </c>
      <c r="H86" s="17">
        <v>4.1200000000000001E-2</v>
      </c>
      <c r="I86" s="17">
        <v>3.8800000000000001E-2</v>
      </c>
      <c r="J86" s="17">
        <v>5.8999999999999997E-2</v>
      </c>
      <c r="K86" s="17">
        <v>6.6799999999999998E-2</v>
      </c>
      <c r="L86" s="17">
        <v>3.1800000000000002E-2</v>
      </c>
      <c r="M86" s="17">
        <v>4.7E-2</v>
      </c>
      <c r="N86" s="17">
        <v>2.98</v>
      </c>
      <c r="O86" s="17">
        <v>3.3999999999999998E-3</v>
      </c>
      <c r="P86" s="17">
        <v>2.21</v>
      </c>
      <c r="Q86" s="17">
        <v>1.45</v>
      </c>
      <c r="R86" s="17">
        <v>0.84299999999999997</v>
      </c>
      <c r="S86" s="17">
        <v>0.82</v>
      </c>
      <c r="T86" s="17">
        <v>20081231</v>
      </c>
      <c r="U86" s="17">
        <v>20190731</v>
      </c>
      <c r="V86" s="17">
        <v>128</v>
      </c>
    </row>
    <row r="87" spans="1:22">
      <c r="A87" s="17" t="s">
        <v>1346</v>
      </c>
      <c r="B87" s="17">
        <v>1.32E-2</v>
      </c>
      <c r="C87" s="17">
        <v>2.0799999999999999E-2</v>
      </c>
      <c r="D87" s="17">
        <v>4.2999999999999997E-2</v>
      </c>
      <c r="E87" s="17">
        <v>4.0300000000000002E-2</v>
      </c>
      <c r="F87" s="17">
        <v>3.7900000000000003E-2</v>
      </c>
      <c r="G87" s="17">
        <v>1.0999999999999999E-2</v>
      </c>
      <c r="H87" s="17">
        <v>2.3099999999999999E-2</v>
      </c>
      <c r="I87" s="17">
        <v>1.5299999999999999E-2</v>
      </c>
      <c r="J87" s="17">
        <v>4.2599999999999999E-2</v>
      </c>
      <c r="K87" s="17">
        <v>3.2199999999999999E-2</v>
      </c>
      <c r="L87" s="17">
        <v>3.4200000000000001E-2</v>
      </c>
      <c r="M87" s="17">
        <v>2.8000000000000001E-2</v>
      </c>
      <c r="N87" s="17">
        <v>2.96</v>
      </c>
      <c r="O87" s="17">
        <v>2.7000000000000001E-3</v>
      </c>
      <c r="P87" s="17">
        <v>2.52</v>
      </c>
      <c r="Q87" s="17">
        <v>1.26</v>
      </c>
      <c r="R87" s="17">
        <v>0.97599999999999998</v>
      </c>
      <c r="S87" s="17">
        <v>0.8</v>
      </c>
      <c r="T87" s="17">
        <v>20081231</v>
      </c>
      <c r="U87" s="17">
        <v>20190731</v>
      </c>
      <c r="V87" s="17">
        <v>128</v>
      </c>
    </row>
  </sheetData>
  <sortState ref="A2:V79">
    <sortCondition descending="1" ref="M3"/>
  </sortState>
  <phoneticPr fontId="5" type="noConversion"/>
  <conditionalFormatting sqref="B2:M2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M3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:M4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M5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:M7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:M6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:M8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:M10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:M9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:M11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:M12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:M13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4:M14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6:M16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5:M15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7:M17">
    <cfRule type="colorScale" priority="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8:M18"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9:M19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0:M20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1:M21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2:M22"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3:M23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4:M24"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5:M25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6:M26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7:M27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8:M28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9:M29"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0:M30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1:M31"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2:M32"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3:M33"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4:M34"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5:M35"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6:M36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7:M37"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9:M39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8:M38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0:M4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1:M41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2:M42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3:M43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4:M44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5:M45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6:M46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7:M47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8:M48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9:M49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0:M50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1:M51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2:M52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3:M53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4:M54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5:M55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6:M56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7:M5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8:M58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9:M59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0:M60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1:M61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2:M62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4:M64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3:M63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5:M65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6:M66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7:M67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9:M69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0:M70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8:M68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1:M71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2:M72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3:M73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4:M74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5:M75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6:M76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7:M77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8:M78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9:M79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:M79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2:N79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:O1048576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:P104857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:S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1:R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9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E26" sqref="A1:V79"/>
    </sheetView>
  </sheetViews>
  <sheetFormatPr defaultRowHeight="14.25"/>
  <cols>
    <col min="1" max="1" width="19.375" customWidth="1"/>
    <col min="2" max="13" width="9" style="35"/>
  </cols>
  <sheetData>
    <row r="1" spans="1:22">
      <c r="A1" s="17" t="s">
        <v>730</v>
      </c>
      <c r="B1" s="38" t="s">
        <v>999</v>
      </c>
      <c r="C1" s="38" t="s">
        <v>1000</v>
      </c>
      <c r="D1" s="38" t="s">
        <v>1001</v>
      </c>
      <c r="E1" s="38" t="s">
        <v>1002</v>
      </c>
      <c r="F1" s="38" t="s">
        <v>1003</v>
      </c>
      <c r="G1" s="38" t="s">
        <v>1004</v>
      </c>
      <c r="H1" s="38" t="s">
        <v>1005</v>
      </c>
      <c r="I1" s="38" t="s">
        <v>1006</v>
      </c>
      <c r="J1" s="38" t="s">
        <v>1007</v>
      </c>
      <c r="K1" s="38" t="s">
        <v>1008</v>
      </c>
      <c r="L1" s="38" t="s">
        <v>1009</v>
      </c>
      <c r="M1" s="38" t="s">
        <v>969</v>
      </c>
      <c r="N1" s="17" t="s">
        <v>970</v>
      </c>
      <c r="O1" s="17" t="s">
        <v>971</v>
      </c>
      <c r="P1" s="17" t="s">
        <v>972</v>
      </c>
      <c r="Q1" s="17" t="s">
        <v>973</v>
      </c>
      <c r="R1" s="17" t="s">
        <v>974</v>
      </c>
      <c r="S1" s="17" t="s">
        <v>975</v>
      </c>
      <c r="T1" s="17" t="s">
        <v>1010</v>
      </c>
      <c r="U1" s="17" t="s">
        <v>1011</v>
      </c>
      <c r="V1" s="17" t="s">
        <v>1012</v>
      </c>
    </row>
    <row r="2" spans="1:22">
      <c r="A2" s="17" t="s">
        <v>1291</v>
      </c>
      <c r="B2" s="38">
        <v>1.54E-2</v>
      </c>
      <c r="C2" s="38">
        <v>7.0199999999999999E-2</v>
      </c>
      <c r="D2" s="38">
        <v>5.0099999999999999E-2</v>
      </c>
      <c r="E2" s="38">
        <v>5.3199999999999997E-2</v>
      </c>
      <c r="F2" s="38">
        <v>3.1E-2</v>
      </c>
      <c r="G2" s="38">
        <v>1.49E-2</v>
      </c>
      <c r="H2" s="38">
        <v>5.0799999999999998E-2</v>
      </c>
      <c r="I2" s="38">
        <v>3.6999999999999998E-2</v>
      </c>
      <c r="J2" s="38">
        <v>9.3399999999999997E-2</v>
      </c>
      <c r="K2" s="38">
        <v>4.1799999999999997E-2</v>
      </c>
      <c r="L2" s="38">
        <v>5.7799999999999997E-2</v>
      </c>
      <c r="M2" s="38">
        <v>4.7E-2</v>
      </c>
      <c r="N2" s="17">
        <v>2.33</v>
      </c>
      <c r="O2" s="17">
        <v>3.0000000000000001E-3</v>
      </c>
      <c r="P2" s="17">
        <v>1.51</v>
      </c>
      <c r="Q2" s="17">
        <v>1.03</v>
      </c>
      <c r="R2" s="17">
        <v>0.999</v>
      </c>
      <c r="S2" s="17">
        <v>0.77</v>
      </c>
      <c r="T2" s="17">
        <v>20081231</v>
      </c>
      <c r="U2" s="17">
        <v>20190731</v>
      </c>
      <c r="V2" s="17">
        <v>128</v>
      </c>
    </row>
    <row r="3" spans="1:22">
      <c r="A3" s="17" t="s">
        <v>552</v>
      </c>
      <c r="B3" s="38">
        <v>1.7299999999999999E-2</v>
      </c>
      <c r="C3" s="38">
        <v>6.4199999999999993E-2</v>
      </c>
      <c r="D3" s="38">
        <v>5.4199999999999998E-2</v>
      </c>
      <c r="E3" s="38">
        <v>5.57E-2</v>
      </c>
      <c r="F3" s="38">
        <v>2.58E-2</v>
      </c>
      <c r="G3" s="38">
        <v>9.1000000000000004E-3</v>
      </c>
      <c r="H3" s="38">
        <v>3.8600000000000002E-2</v>
      </c>
      <c r="I3" s="38">
        <v>3.85E-2</v>
      </c>
      <c r="J3" s="38">
        <v>9.3899999999999997E-2</v>
      </c>
      <c r="K3" s="38">
        <v>6.6199999999999995E-2</v>
      </c>
      <c r="L3" s="38">
        <v>6.4500000000000002E-2</v>
      </c>
      <c r="M3" s="38">
        <v>4.7E-2</v>
      </c>
      <c r="N3" s="17">
        <v>2.57</v>
      </c>
      <c r="O3" s="17">
        <v>3.0999999999999999E-3</v>
      </c>
      <c r="P3" s="17">
        <v>1.71</v>
      </c>
      <c r="Q3" s="17">
        <v>1.08</v>
      </c>
      <c r="R3" s="17">
        <v>0.999</v>
      </c>
      <c r="S3" s="17">
        <v>0.75</v>
      </c>
      <c r="T3" s="17">
        <v>20081231</v>
      </c>
      <c r="U3" s="17">
        <v>20190731</v>
      </c>
      <c r="V3" s="17">
        <v>128</v>
      </c>
    </row>
    <row r="4" spans="1:22">
      <c r="A4" s="17" t="s">
        <v>553</v>
      </c>
      <c r="B4" s="38">
        <v>3.0499999999999999E-2</v>
      </c>
      <c r="C4" s="38">
        <v>6.93E-2</v>
      </c>
      <c r="D4" s="38">
        <v>5.6500000000000002E-2</v>
      </c>
      <c r="E4" s="38">
        <v>5.0099999999999999E-2</v>
      </c>
      <c r="F4" s="38">
        <v>3.3300000000000003E-2</v>
      </c>
      <c r="G4" s="38">
        <v>7.1999999999999998E-3</v>
      </c>
      <c r="H4" s="38">
        <v>3.8800000000000001E-2</v>
      </c>
      <c r="I4" s="38">
        <v>3.49E-2</v>
      </c>
      <c r="J4" s="38">
        <v>7.0900000000000005E-2</v>
      </c>
      <c r="K4" s="38">
        <v>6.2300000000000001E-2</v>
      </c>
      <c r="L4" s="38">
        <v>6.9900000000000004E-2</v>
      </c>
      <c r="M4" s="38">
        <v>4.7E-2</v>
      </c>
      <c r="N4" s="17">
        <v>2.56</v>
      </c>
      <c r="O4" s="17">
        <v>2.8E-3</v>
      </c>
      <c r="P4" s="17">
        <v>2.0299999999999998</v>
      </c>
      <c r="Q4" s="17">
        <v>1.08</v>
      </c>
      <c r="R4" s="17">
        <v>0.999</v>
      </c>
      <c r="S4" s="17">
        <v>0.75</v>
      </c>
      <c r="T4" s="17">
        <v>20081231</v>
      </c>
      <c r="U4" s="17">
        <v>20190731</v>
      </c>
      <c r="V4" s="17">
        <v>128</v>
      </c>
    </row>
    <row r="5" spans="1:22">
      <c r="A5" s="17" t="s">
        <v>1314</v>
      </c>
      <c r="B5" s="38">
        <v>2.0199999999999999E-2</v>
      </c>
      <c r="C5" s="38">
        <v>5.6899999999999999E-2</v>
      </c>
      <c r="D5" s="38">
        <v>5.5500000000000001E-2</v>
      </c>
      <c r="E5" s="38">
        <v>5.4600000000000003E-2</v>
      </c>
      <c r="F5" s="38">
        <v>2.7900000000000001E-2</v>
      </c>
      <c r="G5" s="38">
        <v>1.44E-2</v>
      </c>
      <c r="H5" s="38">
        <v>1.95E-2</v>
      </c>
      <c r="I5" s="38">
        <v>3.5400000000000001E-2</v>
      </c>
      <c r="J5" s="38">
        <v>8.2100000000000006E-2</v>
      </c>
      <c r="K5" s="38">
        <v>6.0900000000000003E-2</v>
      </c>
      <c r="L5" s="38">
        <v>7.0999999999999994E-2</v>
      </c>
      <c r="M5" s="38">
        <v>4.4999999999999998E-2</v>
      </c>
      <c r="N5" s="17">
        <v>2.62</v>
      </c>
      <c r="O5" s="17">
        <v>3.3999999999999998E-3</v>
      </c>
      <c r="P5" s="17">
        <v>1.83</v>
      </c>
      <c r="Q5" s="17">
        <v>1.06</v>
      </c>
      <c r="R5" s="17">
        <v>0.998</v>
      </c>
      <c r="S5" s="17">
        <v>0.75</v>
      </c>
      <c r="T5" s="17">
        <v>20081231</v>
      </c>
      <c r="U5" s="17">
        <v>20190731</v>
      </c>
      <c r="V5" s="17">
        <v>128</v>
      </c>
    </row>
    <row r="6" spans="1:22">
      <c r="A6" s="17" t="s">
        <v>1320</v>
      </c>
      <c r="B6" s="38">
        <v>2.46E-2</v>
      </c>
      <c r="C6" s="38">
        <v>5.9700000000000003E-2</v>
      </c>
      <c r="D6" s="38">
        <v>4.7800000000000002E-2</v>
      </c>
      <c r="E6" s="38">
        <v>6.2399999999999997E-2</v>
      </c>
      <c r="F6" s="38">
        <v>3.0599999999999999E-2</v>
      </c>
      <c r="G6" s="38">
        <v>1.66E-2</v>
      </c>
      <c r="H6" s="38">
        <v>0.03</v>
      </c>
      <c r="I6" s="38">
        <v>3.9300000000000002E-2</v>
      </c>
      <c r="J6" s="38">
        <v>7.9699999999999993E-2</v>
      </c>
      <c r="K6" s="38">
        <v>3.6299999999999999E-2</v>
      </c>
      <c r="L6" s="38">
        <v>6.3600000000000004E-2</v>
      </c>
      <c r="M6" s="38">
        <v>4.3999999999999997E-2</v>
      </c>
      <c r="N6" s="17">
        <v>2.4500000000000002</v>
      </c>
      <c r="O6" s="17">
        <v>3.2000000000000002E-3</v>
      </c>
      <c r="P6" s="17">
        <v>1.72</v>
      </c>
      <c r="Q6" s="17">
        <v>1.02</v>
      </c>
      <c r="R6" s="17">
        <v>0.99</v>
      </c>
      <c r="S6" s="17">
        <v>0.78</v>
      </c>
      <c r="T6" s="17">
        <v>20081231</v>
      </c>
      <c r="U6" s="17">
        <v>20190731</v>
      </c>
      <c r="V6" s="17">
        <v>128</v>
      </c>
    </row>
    <row r="7" spans="1:22">
      <c r="A7" s="17" t="s">
        <v>589</v>
      </c>
      <c r="B7" s="38">
        <v>1.44E-2</v>
      </c>
      <c r="C7" s="38">
        <v>5.1400000000000001E-2</v>
      </c>
      <c r="D7" s="38">
        <v>4.8800000000000003E-2</v>
      </c>
      <c r="E7" s="38">
        <v>5.7200000000000001E-2</v>
      </c>
      <c r="F7" s="38">
        <v>4.5600000000000002E-2</v>
      </c>
      <c r="G7" s="38">
        <v>2.8999999999999998E-3</v>
      </c>
      <c r="H7" s="38">
        <v>4.5600000000000002E-2</v>
      </c>
      <c r="I7" s="38">
        <v>4.0800000000000003E-2</v>
      </c>
      <c r="J7" s="38">
        <v>7.8799999999999995E-2</v>
      </c>
      <c r="K7" s="38">
        <v>5.7599999999999998E-2</v>
      </c>
      <c r="L7" s="38">
        <v>4.2700000000000002E-2</v>
      </c>
      <c r="M7" s="38">
        <v>4.3999999999999997E-2</v>
      </c>
      <c r="N7" s="17">
        <v>2.2799999999999998</v>
      </c>
      <c r="O7" s="17">
        <v>3.3999999999999998E-3</v>
      </c>
      <c r="P7" s="17">
        <v>1.81</v>
      </c>
      <c r="Q7" s="17">
        <v>0.98</v>
      </c>
      <c r="R7" s="17">
        <v>0.92900000000000005</v>
      </c>
      <c r="S7" s="17">
        <v>0.82</v>
      </c>
      <c r="T7" s="17">
        <v>20081231</v>
      </c>
      <c r="U7" s="17">
        <v>20190731</v>
      </c>
      <c r="V7" s="17">
        <v>128</v>
      </c>
    </row>
    <row r="8" spans="1:22">
      <c r="A8" s="17" t="s">
        <v>1307</v>
      </c>
      <c r="B8" s="38">
        <v>7.6E-3</v>
      </c>
      <c r="C8" s="38">
        <v>6.6799999999999998E-2</v>
      </c>
      <c r="D8" s="38">
        <v>4.4999999999999998E-2</v>
      </c>
      <c r="E8" s="38">
        <v>4.99E-2</v>
      </c>
      <c r="F8" s="38">
        <v>3.6200000000000003E-2</v>
      </c>
      <c r="G8" s="38">
        <v>1.4800000000000001E-2</v>
      </c>
      <c r="H8" s="38">
        <v>2.3300000000000001E-2</v>
      </c>
      <c r="I8" s="38">
        <v>4.4299999999999999E-2</v>
      </c>
      <c r="J8" s="38">
        <v>7.7799999999999994E-2</v>
      </c>
      <c r="K8" s="38">
        <v>4.1000000000000002E-2</v>
      </c>
      <c r="L8" s="38">
        <v>6.3600000000000004E-2</v>
      </c>
      <c r="M8" s="38">
        <v>4.2000000000000003E-2</v>
      </c>
      <c r="N8" s="17">
        <v>2.29</v>
      </c>
      <c r="O8" s="17">
        <v>3.0999999999999999E-3</v>
      </c>
      <c r="P8" s="17">
        <v>1.64</v>
      </c>
      <c r="Q8" s="17">
        <v>1.01</v>
      </c>
      <c r="R8" s="17">
        <v>0.97</v>
      </c>
      <c r="S8" s="17">
        <v>0.79</v>
      </c>
      <c r="T8" s="17">
        <v>20081231</v>
      </c>
      <c r="U8" s="17">
        <v>20190731</v>
      </c>
      <c r="V8" s="17">
        <v>128</v>
      </c>
    </row>
    <row r="9" spans="1:22">
      <c r="A9" s="17" t="s">
        <v>1342</v>
      </c>
      <c r="B9" s="38">
        <v>3.9100000000000003E-2</v>
      </c>
      <c r="C9" s="38">
        <v>5.7299999999999997E-2</v>
      </c>
      <c r="D9" s="38">
        <v>4.6899999999999997E-2</v>
      </c>
      <c r="E9" s="38">
        <v>4.6800000000000001E-2</v>
      </c>
      <c r="F9" s="38">
        <v>3.4799999999999998E-2</v>
      </c>
      <c r="G9" s="38">
        <v>2.29E-2</v>
      </c>
      <c r="H9" s="38">
        <v>3.5200000000000002E-2</v>
      </c>
      <c r="I9" s="38">
        <v>4.02E-2</v>
      </c>
      <c r="J9" s="38">
        <v>6.6100000000000006E-2</v>
      </c>
      <c r="K9" s="38">
        <v>3.3599999999999998E-2</v>
      </c>
      <c r="L9" s="38">
        <v>4.48E-2</v>
      </c>
      <c r="M9" s="38">
        <v>4.2000000000000003E-2</v>
      </c>
      <c r="N9" s="17">
        <v>2.8</v>
      </c>
      <c r="O9" s="17">
        <v>3.3999999999999998E-3</v>
      </c>
      <c r="P9" s="17">
        <v>2.3199999999999998</v>
      </c>
      <c r="Q9" s="17">
        <v>1.08</v>
      </c>
      <c r="R9" s="17">
        <v>0.99</v>
      </c>
      <c r="S9" s="17">
        <v>0.76</v>
      </c>
      <c r="T9" s="17">
        <v>20081231</v>
      </c>
      <c r="U9" s="17">
        <v>20190731</v>
      </c>
      <c r="V9" s="17">
        <v>128</v>
      </c>
    </row>
    <row r="10" spans="1:22">
      <c r="A10" s="17" t="s">
        <v>1343</v>
      </c>
      <c r="B10" s="38">
        <v>2.18E-2</v>
      </c>
      <c r="C10" s="38">
        <v>5.1999999999999998E-2</v>
      </c>
      <c r="D10" s="38">
        <v>4.2799999999999998E-2</v>
      </c>
      <c r="E10" s="38">
        <v>3.6400000000000002E-2</v>
      </c>
      <c r="F10" s="38">
        <v>3.2399999999999998E-2</v>
      </c>
      <c r="G10" s="38">
        <v>2.0299999999999999E-2</v>
      </c>
      <c r="H10" s="38">
        <v>2.8899999999999999E-2</v>
      </c>
      <c r="I10" s="38">
        <v>4.9099999999999998E-2</v>
      </c>
      <c r="J10" s="38">
        <v>6.1600000000000002E-2</v>
      </c>
      <c r="K10" s="38">
        <v>5.3199999999999997E-2</v>
      </c>
      <c r="L10" s="38">
        <v>5.2400000000000002E-2</v>
      </c>
      <c r="M10" s="38">
        <v>4.1000000000000002E-2</v>
      </c>
      <c r="N10" s="17">
        <v>2.93</v>
      </c>
      <c r="O10" s="17">
        <v>3.5000000000000001E-3</v>
      </c>
      <c r="P10" s="17">
        <v>2.4900000000000002</v>
      </c>
      <c r="Q10" s="17">
        <v>1.1299999999999999</v>
      </c>
      <c r="R10" s="17">
        <v>0.99</v>
      </c>
      <c r="S10" s="17">
        <v>0.77</v>
      </c>
      <c r="T10" s="17">
        <v>20081231</v>
      </c>
      <c r="U10" s="17">
        <v>20190731</v>
      </c>
      <c r="V10" s="17">
        <v>128</v>
      </c>
    </row>
    <row r="11" spans="1:22">
      <c r="A11" s="17" t="s">
        <v>1305</v>
      </c>
      <c r="B11" s="38">
        <v>6.6E-3</v>
      </c>
      <c r="C11" s="38">
        <v>6.5000000000000002E-2</v>
      </c>
      <c r="D11" s="38">
        <v>3.5200000000000002E-2</v>
      </c>
      <c r="E11" s="38">
        <v>4.3200000000000002E-2</v>
      </c>
      <c r="F11" s="38">
        <v>4.41E-2</v>
      </c>
      <c r="G11" s="38">
        <v>8.9999999999999993E-3</v>
      </c>
      <c r="H11" s="38">
        <v>2.6700000000000002E-2</v>
      </c>
      <c r="I11" s="38">
        <v>3.5099999999999999E-2</v>
      </c>
      <c r="J11" s="38">
        <v>7.6700000000000004E-2</v>
      </c>
      <c r="K11" s="38">
        <v>3.9800000000000002E-2</v>
      </c>
      <c r="L11" s="38">
        <v>7.0000000000000007E-2</v>
      </c>
      <c r="M11" s="38">
        <v>0.04</v>
      </c>
      <c r="N11" s="17">
        <v>2.33</v>
      </c>
      <c r="O11" s="17">
        <v>3.0000000000000001E-3</v>
      </c>
      <c r="P11" s="17">
        <v>1.63</v>
      </c>
      <c r="Q11" s="17">
        <v>0.93</v>
      </c>
      <c r="R11" s="17">
        <v>0.92200000000000004</v>
      </c>
      <c r="S11" s="17">
        <v>0.81</v>
      </c>
      <c r="T11" s="17">
        <v>20081231</v>
      </c>
      <c r="U11" s="17">
        <v>20190731</v>
      </c>
      <c r="V11" s="17">
        <v>128</v>
      </c>
    </row>
    <row r="12" spans="1:22">
      <c r="A12" s="17" t="s">
        <v>1306</v>
      </c>
      <c r="B12" s="38">
        <v>9.9000000000000008E-3</v>
      </c>
      <c r="C12" s="38">
        <v>5.0999999999999997E-2</v>
      </c>
      <c r="D12" s="38">
        <v>4.4900000000000002E-2</v>
      </c>
      <c r="E12" s="38">
        <v>4.5199999999999997E-2</v>
      </c>
      <c r="F12" s="38">
        <v>2.9000000000000001E-2</v>
      </c>
      <c r="G12" s="38">
        <v>1.77E-2</v>
      </c>
      <c r="H12" s="38">
        <v>2.4799999999999999E-2</v>
      </c>
      <c r="I12" s="38">
        <v>3.9899999999999998E-2</v>
      </c>
      <c r="J12" s="38">
        <v>7.4800000000000005E-2</v>
      </c>
      <c r="K12" s="38">
        <v>4.7E-2</v>
      </c>
      <c r="L12" s="38">
        <v>6.8400000000000002E-2</v>
      </c>
      <c r="M12" s="38">
        <v>0.04</v>
      </c>
      <c r="N12" s="17">
        <v>2.44</v>
      </c>
      <c r="O12" s="17">
        <v>3.2000000000000002E-3</v>
      </c>
      <c r="P12" s="17">
        <v>1.85</v>
      </c>
      <c r="Q12" s="17">
        <v>1.02</v>
      </c>
      <c r="R12" s="17">
        <v>0.99</v>
      </c>
      <c r="S12" s="17">
        <v>0.81</v>
      </c>
      <c r="T12" s="17">
        <v>20081231</v>
      </c>
      <c r="U12" s="17">
        <v>20190731</v>
      </c>
      <c r="V12" s="17">
        <v>128</v>
      </c>
    </row>
    <row r="13" spans="1:22">
      <c r="A13" s="17" t="s">
        <v>1310</v>
      </c>
      <c r="B13" s="38">
        <v>1.35E-2</v>
      </c>
      <c r="C13" s="38">
        <v>7.17E-2</v>
      </c>
      <c r="D13" s="38">
        <v>5.1200000000000002E-2</v>
      </c>
      <c r="E13" s="38">
        <v>5.62E-2</v>
      </c>
      <c r="F13" s="38">
        <v>4.7999999999999996E-3</v>
      </c>
      <c r="G13" s="38">
        <v>7.4000000000000003E-3</v>
      </c>
      <c r="H13" s="38">
        <v>8.2199999999999995E-2</v>
      </c>
      <c r="I13" s="38">
        <v>5.6599999999999998E-2</v>
      </c>
      <c r="J13" s="38">
        <v>7.2700000000000001E-2</v>
      </c>
      <c r="K13" s="38">
        <v>-4.0000000000000001E-3</v>
      </c>
      <c r="L13" s="38">
        <v>1.9300000000000001E-2</v>
      </c>
      <c r="M13" s="38">
        <v>0.04</v>
      </c>
      <c r="N13" s="17">
        <v>1.91</v>
      </c>
      <c r="O13" s="17">
        <v>2.8999999999999998E-3</v>
      </c>
      <c r="P13" s="17">
        <v>1.48</v>
      </c>
      <c r="Q13" s="17">
        <v>0.87</v>
      </c>
      <c r="R13" s="17">
        <v>0.89600000000000002</v>
      </c>
      <c r="S13" s="17">
        <v>0.88</v>
      </c>
      <c r="T13" s="17">
        <v>20081231</v>
      </c>
      <c r="U13" s="17">
        <v>20190731</v>
      </c>
      <c r="V13" s="17">
        <v>128</v>
      </c>
    </row>
    <row r="14" spans="1:22">
      <c r="A14" s="17" t="s">
        <v>1319</v>
      </c>
      <c r="B14" s="38">
        <v>2.1399999999999999E-2</v>
      </c>
      <c r="C14" s="38">
        <v>5.3499999999999999E-2</v>
      </c>
      <c r="D14" s="38">
        <v>3.9899999999999998E-2</v>
      </c>
      <c r="E14" s="38">
        <v>4.8399999999999999E-2</v>
      </c>
      <c r="F14" s="38">
        <v>2.4500000000000001E-2</v>
      </c>
      <c r="G14" s="38">
        <v>1.35E-2</v>
      </c>
      <c r="H14" s="38">
        <v>2.81E-2</v>
      </c>
      <c r="I14" s="38">
        <v>3.85E-2</v>
      </c>
      <c r="J14" s="38">
        <v>8.0699999999999994E-2</v>
      </c>
      <c r="K14" s="38">
        <v>3.5099999999999999E-2</v>
      </c>
      <c r="L14" s="38">
        <v>5.7599999999999998E-2</v>
      </c>
      <c r="M14" s="38">
        <v>0.04</v>
      </c>
      <c r="N14" s="17">
        <v>2.2999999999999998</v>
      </c>
      <c r="O14" s="17">
        <v>3.0999999999999999E-3</v>
      </c>
      <c r="P14" s="17">
        <v>1.76</v>
      </c>
      <c r="Q14" s="17">
        <v>0.98</v>
      </c>
      <c r="R14" s="17">
        <v>0.99</v>
      </c>
      <c r="S14" s="17">
        <v>0.79</v>
      </c>
      <c r="T14" s="17">
        <v>20081231</v>
      </c>
      <c r="U14" s="17">
        <v>20190731</v>
      </c>
      <c r="V14" s="17">
        <v>128</v>
      </c>
    </row>
    <row r="15" spans="1:22">
      <c r="A15" s="17" t="s">
        <v>1292</v>
      </c>
      <c r="B15" s="38">
        <v>2.2499999999999999E-2</v>
      </c>
      <c r="C15" s="38">
        <v>5.3800000000000001E-2</v>
      </c>
      <c r="D15" s="38">
        <v>4.53E-2</v>
      </c>
      <c r="E15" s="38">
        <v>5.28E-2</v>
      </c>
      <c r="F15" s="38">
        <v>1.67E-2</v>
      </c>
      <c r="G15" s="38">
        <v>-1.1000000000000001E-3</v>
      </c>
      <c r="H15" s="38">
        <v>3.6700000000000003E-2</v>
      </c>
      <c r="I15" s="38">
        <v>3.8699999999999998E-2</v>
      </c>
      <c r="J15" s="38">
        <v>6.2600000000000003E-2</v>
      </c>
      <c r="K15" s="38">
        <v>3.7499999999999999E-2</v>
      </c>
      <c r="L15" s="38">
        <v>5.9799999999999999E-2</v>
      </c>
      <c r="M15" s="38">
        <v>3.7999999999999999E-2</v>
      </c>
      <c r="N15" s="17">
        <v>2.09</v>
      </c>
      <c r="O15" s="17">
        <v>2.3E-3</v>
      </c>
      <c r="P15" s="17">
        <v>1.33</v>
      </c>
      <c r="Q15" s="17">
        <v>0.83</v>
      </c>
      <c r="R15" s="17">
        <v>0.99</v>
      </c>
      <c r="S15" s="17">
        <v>0.77</v>
      </c>
      <c r="T15" s="17">
        <v>20081231</v>
      </c>
      <c r="U15" s="17">
        <v>20190731</v>
      </c>
      <c r="V15" s="17">
        <v>128</v>
      </c>
    </row>
    <row r="16" spans="1:22">
      <c r="A16" s="17" t="s">
        <v>1299</v>
      </c>
      <c r="B16" s="38">
        <v>1.9300000000000001E-2</v>
      </c>
      <c r="C16" s="38">
        <v>5.8000000000000003E-2</v>
      </c>
      <c r="D16" s="38">
        <v>3.5799999999999998E-2</v>
      </c>
      <c r="E16" s="38">
        <v>4.4600000000000001E-2</v>
      </c>
      <c r="F16" s="38">
        <v>3.7999999999999999E-2</v>
      </c>
      <c r="G16" s="38">
        <v>9.1999999999999998E-3</v>
      </c>
      <c r="H16" s="38">
        <v>3.0700000000000002E-2</v>
      </c>
      <c r="I16" s="38">
        <v>2.5600000000000001E-2</v>
      </c>
      <c r="J16" s="38">
        <v>7.3099999999999998E-2</v>
      </c>
      <c r="K16" s="38">
        <v>3.3599999999999998E-2</v>
      </c>
      <c r="L16" s="38">
        <v>6.3500000000000001E-2</v>
      </c>
      <c r="M16" s="38">
        <v>3.7999999999999999E-2</v>
      </c>
      <c r="N16" s="17">
        <v>2.2400000000000002</v>
      </c>
      <c r="O16" s="17">
        <v>2.8E-3</v>
      </c>
      <c r="P16" s="17">
        <v>1.54</v>
      </c>
      <c r="Q16" s="17">
        <v>0.88</v>
      </c>
      <c r="R16" s="17">
        <v>0.97699999999999998</v>
      </c>
      <c r="S16" s="17">
        <v>0.79</v>
      </c>
      <c r="T16" s="17">
        <v>20081231</v>
      </c>
      <c r="U16" s="17">
        <v>20190731</v>
      </c>
      <c r="V16" s="17">
        <v>128</v>
      </c>
    </row>
    <row r="17" spans="1:22">
      <c r="A17" s="17" t="s">
        <v>1309</v>
      </c>
      <c r="B17" s="38">
        <v>2.06E-2</v>
      </c>
      <c r="C17" s="38">
        <v>4.9000000000000002E-2</v>
      </c>
      <c r="D17" s="38">
        <v>4.4499999999999998E-2</v>
      </c>
      <c r="E17" s="38">
        <v>3.2399999999999998E-2</v>
      </c>
      <c r="F17" s="38">
        <v>3.2399999999999998E-2</v>
      </c>
      <c r="G17" s="38">
        <v>-2.1700000000000001E-2</v>
      </c>
      <c r="H17" s="38">
        <v>4.5199999999999997E-2</v>
      </c>
      <c r="I17" s="38">
        <v>1.6299999999999999E-2</v>
      </c>
      <c r="J17" s="38">
        <v>9.1300000000000006E-2</v>
      </c>
      <c r="K17" s="38">
        <v>4.4299999999999999E-2</v>
      </c>
      <c r="L17" s="38">
        <v>7.9699999999999993E-2</v>
      </c>
      <c r="M17" s="38">
        <v>3.7999999999999999E-2</v>
      </c>
      <c r="N17" s="17">
        <v>1.76</v>
      </c>
      <c r="O17" s="17">
        <v>2.8999999999999998E-3</v>
      </c>
      <c r="P17" s="17">
        <v>1.22</v>
      </c>
      <c r="Q17" s="17">
        <v>0.91</v>
      </c>
      <c r="R17" s="17">
        <v>0.999</v>
      </c>
      <c r="S17" s="17">
        <v>0.86</v>
      </c>
      <c r="T17" s="17">
        <v>20081231</v>
      </c>
      <c r="U17" s="17">
        <v>20190731</v>
      </c>
      <c r="V17" s="17">
        <v>128</v>
      </c>
    </row>
    <row r="18" spans="1:22">
      <c r="A18" s="17" t="s">
        <v>1345</v>
      </c>
      <c r="B18" s="38">
        <v>1.0699999999999999E-2</v>
      </c>
      <c r="C18" s="38">
        <v>4.3499999999999997E-2</v>
      </c>
      <c r="D18" s="38">
        <v>3.2899999999999999E-2</v>
      </c>
      <c r="E18" s="38">
        <v>5.0999999999999997E-2</v>
      </c>
      <c r="F18" s="38">
        <v>4.2700000000000002E-2</v>
      </c>
      <c r="G18" s="38">
        <v>-4.0000000000000001E-3</v>
      </c>
      <c r="H18" s="38">
        <v>4.9200000000000001E-2</v>
      </c>
      <c r="I18" s="38">
        <v>4.02E-2</v>
      </c>
      <c r="J18" s="38">
        <v>7.0499999999999993E-2</v>
      </c>
      <c r="K18" s="38">
        <v>3.5099999999999999E-2</v>
      </c>
      <c r="L18" s="38">
        <v>3.0599999999999999E-2</v>
      </c>
      <c r="M18" s="38">
        <v>3.6999999999999998E-2</v>
      </c>
      <c r="N18" s="17">
        <v>1.91</v>
      </c>
      <c r="O18" s="17">
        <v>2.7000000000000001E-3</v>
      </c>
      <c r="P18" s="17">
        <v>1.41</v>
      </c>
      <c r="Q18" s="17">
        <v>0.77</v>
      </c>
      <c r="R18" s="17">
        <v>0.93899999999999995</v>
      </c>
      <c r="S18" s="17">
        <v>0.85</v>
      </c>
      <c r="T18" s="17">
        <v>20081231</v>
      </c>
      <c r="U18" s="17">
        <v>20190731</v>
      </c>
      <c r="V18" s="17">
        <v>128</v>
      </c>
    </row>
    <row r="19" spans="1:22">
      <c r="A19" s="17" t="s">
        <v>1308</v>
      </c>
      <c r="B19" s="38">
        <v>5.0000000000000001E-3</v>
      </c>
      <c r="C19" s="38">
        <v>2.2200000000000001E-2</v>
      </c>
      <c r="D19" s="38">
        <v>4.5600000000000002E-2</v>
      </c>
      <c r="E19" s="38">
        <v>3.9E-2</v>
      </c>
      <c r="F19" s="38">
        <v>4.1000000000000002E-2</v>
      </c>
      <c r="G19" s="38">
        <v>9.4000000000000004E-3</v>
      </c>
      <c r="H19" s="38">
        <v>5.2499999999999998E-2</v>
      </c>
      <c r="I19" s="38">
        <v>3.6700000000000003E-2</v>
      </c>
      <c r="J19" s="38">
        <v>5.4600000000000003E-2</v>
      </c>
      <c r="K19" s="38">
        <v>4.5100000000000001E-2</v>
      </c>
      <c r="L19" s="38">
        <v>4.7399999999999998E-2</v>
      </c>
      <c r="M19" s="38">
        <v>3.5999999999999997E-2</v>
      </c>
      <c r="N19" s="17">
        <v>2.2999999999999998</v>
      </c>
      <c r="O19" s="17">
        <v>2.2000000000000001E-3</v>
      </c>
      <c r="P19" s="17">
        <v>1.48</v>
      </c>
      <c r="Q19" s="17">
        <v>0.75</v>
      </c>
      <c r="R19" s="17">
        <v>0.999</v>
      </c>
      <c r="S19" s="17">
        <v>0.84</v>
      </c>
      <c r="T19" s="17">
        <v>20081231</v>
      </c>
      <c r="U19" s="17">
        <v>20190731</v>
      </c>
      <c r="V19" s="17">
        <v>128</v>
      </c>
    </row>
    <row r="20" spans="1:22">
      <c r="A20" s="17" t="s">
        <v>1315</v>
      </c>
      <c r="B20" s="38">
        <v>6.7999999999999996E-3</v>
      </c>
      <c r="C20" s="38">
        <v>5.3600000000000002E-2</v>
      </c>
      <c r="D20" s="38">
        <v>2.76E-2</v>
      </c>
      <c r="E20" s="38">
        <v>3.2800000000000003E-2</v>
      </c>
      <c r="F20" s="38">
        <v>4.82E-2</v>
      </c>
      <c r="G20" s="38">
        <v>1.9400000000000001E-2</v>
      </c>
      <c r="H20" s="38">
        <v>6.3100000000000003E-2</v>
      </c>
      <c r="I20" s="38">
        <v>4.65E-2</v>
      </c>
      <c r="J20" s="38">
        <v>1.29E-2</v>
      </c>
      <c r="K20" s="38">
        <v>5.7500000000000002E-2</v>
      </c>
      <c r="L20" s="38">
        <v>2.52E-2</v>
      </c>
      <c r="M20" s="38">
        <v>3.5999999999999997E-2</v>
      </c>
      <c r="N20" s="17">
        <v>1.88</v>
      </c>
      <c r="O20" s="17">
        <v>2.2000000000000001E-3</v>
      </c>
      <c r="P20" s="17">
        <v>1.08</v>
      </c>
      <c r="Q20" s="17">
        <v>0.57999999999999996</v>
      </c>
      <c r="R20" s="17">
        <v>0.94899999999999995</v>
      </c>
      <c r="S20" s="17">
        <v>0.83</v>
      </c>
      <c r="T20" s="17">
        <v>20081231</v>
      </c>
      <c r="U20" s="17">
        <v>20190731</v>
      </c>
      <c r="V20" s="17">
        <v>128</v>
      </c>
    </row>
    <row r="21" spans="1:22">
      <c r="A21" s="17" t="s">
        <v>1287</v>
      </c>
      <c r="B21" s="38">
        <v>3.5299999999999998E-2</v>
      </c>
      <c r="C21" s="38">
        <v>5.7700000000000001E-2</v>
      </c>
      <c r="D21" s="38">
        <v>3.1899999999999998E-2</v>
      </c>
      <c r="E21" s="38">
        <v>4.1700000000000001E-2</v>
      </c>
      <c r="F21" s="38">
        <v>2.3699999999999999E-2</v>
      </c>
      <c r="G21" s="38">
        <v>-1.15E-2</v>
      </c>
      <c r="H21" s="38">
        <v>3.4099999999999998E-2</v>
      </c>
      <c r="I21" s="38">
        <v>3.1099999999999999E-2</v>
      </c>
      <c r="J21" s="38">
        <v>6.6199999999999995E-2</v>
      </c>
      <c r="K21" s="38">
        <v>2.75E-2</v>
      </c>
      <c r="L21" s="38">
        <v>4.5699999999999998E-2</v>
      </c>
      <c r="M21" s="38">
        <v>3.5000000000000003E-2</v>
      </c>
      <c r="N21" s="17">
        <v>1.62</v>
      </c>
      <c r="O21" s="17">
        <v>1.6999999999999999E-3</v>
      </c>
      <c r="P21" s="17">
        <v>1</v>
      </c>
      <c r="Q21" s="17">
        <v>0.56999999999999995</v>
      </c>
      <c r="R21" s="17">
        <v>0.999</v>
      </c>
      <c r="S21" s="17">
        <v>0.73</v>
      </c>
      <c r="T21" s="17">
        <v>20081231</v>
      </c>
      <c r="U21" s="17">
        <v>20190731</v>
      </c>
      <c r="V21" s="17">
        <v>128</v>
      </c>
    </row>
    <row r="22" spans="1:22">
      <c r="A22" s="17" t="s">
        <v>2301</v>
      </c>
      <c r="B22" s="38">
        <v>2.5100000000000001E-2</v>
      </c>
      <c r="C22" s="38">
        <v>5.0900000000000001E-2</v>
      </c>
      <c r="D22" s="38">
        <v>3.5999999999999997E-2</v>
      </c>
      <c r="E22" s="38">
        <v>4.7399999999999998E-2</v>
      </c>
      <c r="F22" s="38">
        <v>3.0700000000000002E-2</v>
      </c>
      <c r="G22" s="38">
        <v>1.6999999999999999E-3</v>
      </c>
      <c r="H22" s="38">
        <v>4.3499999999999997E-2</v>
      </c>
      <c r="I22" s="38">
        <v>2.0799999999999999E-2</v>
      </c>
      <c r="J22" s="38">
        <v>6.7400000000000002E-2</v>
      </c>
      <c r="K22" s="38">
        <v>2.4299999999999999E-2</v>
      </c>
      <c r="L22" s="38">
        <v>3.7499999999999999E-2</v>
      </c>
      <c r="M22" s="38">
        <v>3.5000000000000003E-2</v>
      </c>
      <c r="N22" s="17">
        <v>1.81</v>
      </c>
      <c r="O22" s="17">
        <v>3.3999999999999998E-3</v>
      </c>
      <c r="P22" s="17">
        <v>1.87</v>
      </c>
      <c r="Q22" s="17">
        <v>1.05</v>
      </c>
      <c r="R22" s="17">
        <v>0.95899999999999996</v>
      </c>
      <c r="S22" s="17">
        <v>0.78</v>
      </c>
      <c r="T22" s="17">
        <v>20081231</v>
      </c>
      <c r="U22" s="17">
        <v>20190731</v>
      </c>
      <c r="V22" s="17">
        <v>128</v>
      </c>
    </row>
    <row r="23" spans="1:22">
      <c r="A23" s="17" t="s">
        <v>2302</v>
      </c>
      <c r="B23" s="38">
        <v>1.9300000000000001E-2</v>
      </c>
      <c r="C23" s="38">
        <v>4.7399999999999998E-2</v>
      </c>
      <c r="D23" s="38">
        <v>3.4799999999999998E-2</v>
      </c>
      <c r="E23" s="38">
        <v>4.9200000000000001E-2</v>
      </c>
      <c r="F23" s="38">
        <v>3.5499999999999997E-2</v>
      </c>
      <c r="G23" s="38">
        <v>-1.09E-2</v>
      </c>
      <c r="H23" s="38">
        <v>5.5100000000000003E-2</v>
      </c>
      <c r="I23" s="38">
        <v>2.1499999999999998E-2</v>
      </c>
      <c r="J23" s="38">
        <v>7.2999999999999995E-2</v>
      </c>
      <c r="K23" s="38">
        <v>3.2300000000000002E-2</v>
      </c>
      <c r="L23" s="38">
        <v>3.1800000000000002E-2</v>
      </c>
      <c r="M23" s="38">
        <v>3.5000000000000003E-2</v>
      </c>
      <c r="N23" s="17">
        <v>1.76</v>
      </c>
      <c r="O23" s="17">
        <v>3.3999999999999998E-3</v>
      </c>
      <c r="P23" s="17">
        <v>1.75</v>
      </c>
      <c r="Q23" s="17">
        <v>1.02</v>
      </c>
      <c r="R23" s="17">
        <v>0.96199999999999997</v>
      </c>
      <c r="S23" s="17">
        <v>0.78</v>
      </c>
      <c r="T23" s="17">
        <v>20081231</v>
      </c>
      <c r="U23" s="17">
        <v>20190731</v>
      </c>
      <c r="V23" s="17">
        <v>128</v>
      </c>
    </row>
    <row r="24" spans="1:22">
      <c r="A24" s="17" t="s">
        <v>1293</v>
      </c>
      <c r="B24" s="38">
        <v>2.0999999999999999E-3</v>
      </c>
      <c r="C24" s="38">
        <v>2.1999999999999999E-2</v>
      </c>
      <c r="D24" s="38">
        <v>4.3200000000000002E-2</v>
      </c>
      <c r="E24" s="38">
        <v>3.7999999999999999E-2</v>
      </c>
      <c r="F24" s="38">
        <v>3.5799999999999998E-2</v>
      </c>
      <c r="G24" s="38">
        <v>6.7999999999999996E-3</v>
      </c>
      <c r="H24" s="38">
        <v>5.3800000000000001E-2</v>
      </c>
      <c r="I24" s="38">
        <v>3.5999999999999997E-2</v>
      </c>
      <c r="J24" s="38">
        <v>5.2200000000000003E-2</v>
      </c>
      <c r="K24" s="38">
        <v>4.2700000000000002E-2</v>
      </c>
      <c r="L24" s="38">
        <v>3.8300000000000001E-2</v>
      </c>
      <c r="M24" s="38">
        <v>3.4000000000000002E-2</v>
      </c>
      <c r="N24" s="17">
        <v>2.15</v>
      </c>
      <c r="O24" s="17">
        <v>2.0999999999999999E-3</v>
      </c>
      <c r="P24" s="17">
        <v>1.41</v>
      </c>
      <c r="Q24" s="17">
        <v>0.72</v>
      </c>
      <c r="R24" s="17">
        <v>0.999</v>
      </c>
      <c r="S24" s="17">
        <v>0.84</v>
      </c>
      <c r="T24" s="17">
        <v>20081231</v>
      </c>
      <c r="U24" s="17">
        <v>20190731</v>
      </c>
      <c r="V24" s="17">
        <v>128</v>
      </c>
    </row>
    <row r="25" spans="1:22">
      <c r="A25" s="17" t="s">
        <v>1313</v>
      </c>
      <c r="B25" s="38">
        <v>7.7000000000000002E-3</v>
      </c>
      <c r="C25" s="38">
        <v>3.0499999999999999E-2</v>
      </c>
      <c r="D25" s="38">
        <v>4.9399999999999999E-2</v>
      </c>
      <c r="E25" s="38">
        <v>4.6699999999999998E-2</v>
      </c>
      <c r="F25" s="38">
        <v>3.8199999999999998E-2</v>
      </c>
      <c r="G25" s="38">
        <v>-1.4500000000000001E-2</v>
      </c>
      <c r="H25" s="38">
        <v>3.4200000000000001E-2</v>
      </c>
      <c r="I25" s="38">
        <v>3.5900000000000001E-2</v>
      </c>
      <c r="J25" s="38">
        <v>5.9200000000000003E-2</v>
      </c>
      <c r="K25" s="38">
        <v>3.85E-2</v>
      </c>
      <c r="L25" s="38">
        <v>6.1199999999999997E-2</v>
      </c>
      <c r="M25" s="38">
        <v>3.4000000000000002E-2</v>
      </c>
      <c r="N25" s="17">
        <v>1.9</v>
      </c>
      <c r="O25" s="17">
        <v>2.3E-3</v>
      </c>
      <c r="P25" s="17">
        <v>1.36</v>
      </c>
      <c r="Q25" s="17">
        <v>0.75</v>
      </c>
      <c r="R25" s="17">
        <v>0.999</v>
      </c>
      <c r="S25" s="17">
        <v>0.82</v>
      </c>
      <c r="T25" s="17">
        <v>20081231</v>
      </c>
      <c r="U25" s="17">
        <v>20190731</v>
      </c>
      <c r="V25" s="17">
        <v>128</v>
      </c>
    </row>
    <row r="26" spans="1:22">
      <c r="A26" s="17" t="s">
        <v>1335</v>
      </c>
      <c r="B26" s="38">
        <v>5.1999999999999998E-3</v>
      </c>
      <c r="C26" s="38">
        <v>5.5100000000000003E-2</v>
      </c>
      <c r="D26" s="38">
        <v>3.3099999999999997E-2</v>
      </c>
      <c r="E26" s="38">
        <v>1.83E-2</v>
      </c>
      <c r="F26" s="38">
        <v>8.6999999999999994E-3</v>
      </c>
      <c r="G26" s="38">
        <v>2.69E-2</v>
      </c>
      <c r="H26" s="38">
        <v>1.06E-2</v>
      </c>
      <c r="I26" s="38">
        <v>4.1799999999999997E-2</v>
      </c>
      <c r="J26" s="38">
        <v>5.74E-2</v>
      </c>
      <c r="K26" s="38">
        <v>5.33E-2</v>
      </c>
      <c r="L26" s="38">
        <v>5.9700000000000003E-2</v>
      </c>
      <c r="M26" s="38">
        <v>3.3000000000000002E-2</v>
      </c>
      <c r="N26" s="17">
        <v>1.96</v>
      </c>
      <c r="O26" s="17">
        <v>1.8E-3</v>
      </c>
      <c r="P26" s="17">
        <v>1.06</v>
      </c>
      <c r="Q26" s="17">
        <v>0.5</v>
      </c>
      <c r="R26" s="17">
        <v>0.99</v>
      </c>
      <c r="S26" s="17">
        <v>0.77</v>
      </c>
      <c r="T26" s="17">
        <v>20081231</v>
      </c>
      <c r="U26" s="17">
        <v>20190731</v>
      </c>
      <c r="V26" s="17">
        <v>128</v>
      </c>
    </row>
    <row r="27" spans="1:22">
      <c r="A27" s="17" t="s">
        <v>1322</v>
      </c>
      <c r="B27" s="38">
        <v>3.3300000000000003E-2</v>
      </c>
      <c r="C27" s="38">
        <v>3.56E-2</v>
      </c>
      <c r="D27" s="38">
        <v>3.1399999999999997E-2</v>
      </c>
      <c r="E27" s="38">
        <v>4.7899999999999998E-2</v>
      </c>
      <c r="F27" s="38">
        <v>1.83E-2</v>
      </c>
      <c r="G27" s="38">
        <v>-5.0000000000000001E-3</v>
      </c>
      <c r="H27" s="38">
        <v>4.4900000000000002E-2</v>
      </c>
      <c r="I27" s="38">
        <v>4.1399999999999999E-2</v>
      </c>
      <c r="J27" s="38">
        <v>3.95E-2</v>
      </c>
      <c r="K27" s="38">
        <v>2.7799999999999998E-2</v>
      </c>
      <c r="L27" s="38">
        <v>3.7100000000000001E-2</v>
      </c>
      <c r="M27" s="38">
        <v>3.2000000000000001E-2</v>
      </c>
      <c r="N27" s="17">
        <v>1.8</v>
      </c>
      <c r="O27" s="17">
        <v>1.4E-3</v>
      </c>
      <c r="P27" s="17">
        <v>0.87</v>
      </c>
      <c r="Q27" s="17">
        <v>0.5</v>
      </c>
      <c r="R27" s="17">
        <v>0.99099999999999999</v>
      </c>
      <c r="S27" s="17">
        <v>0.86</v>
      </c>
      <c r="T27" s="17">
        <v>20081231</v>
      </c>
      <c r="U27" s="17">
        <v>20190731</v>
      </c>
      <c r="V27" s="17">
        <v>128</v>
      </c>
    </row>
    <row r="28" spans="1:22">
      <c r="A28" s="17" t="s">
        <v>1337</v>
      </c>
      <c r="B28" s="38">
        <v>5.5999999999999999E-3</v>
      </c>
      <c r="C28" s="38">
        <v>5.1299999999999998E-2</v>
      </c>
      <c r="D28" s="38">
        <v>2.7400000000000001E-2</v>
      </c>
      <c r="E28" s="38">
        <v>2.5000000000000001E-2</v>
      </c>
      <c r="F28" s="38">
        <v>1.55E-2</v>
      </c>
      <c r="G28" s="38">
        <v>1.89E-2</v>
      </c>
      <c r="H28" s="38">
        <v>1.7600000000000001E-2</v>
      </c>
      <c r="I28" s="38">
        <v>4.7800000000000002E-2</v>
      </c>
      <c r="J28" s="38">
        <v>4.9799999999999997E-2</v>
      </c>
      <c r="K28" s="38">
        <v>5.11E-2</v>
      </c>
      <c r="L28" s="38">
        <v>4.8899999999999999E-2</v>
      </c>
      <c r="M28" s="38">
        <v>3.2000000000000001E-2</v>
      </c>
      <c r="N28" s="17">
        <v>1.85</v>
      </c>
      <c r="O28" s="17">
        <v>2E-3</v>
      </c>
      <c r="P28" s="17">
        <v>1.07</v>
      </c>
      <c r="Q28" s="17">
        <v>0.55000000000000004</v>
      </c>
      <c r="R28" s="17">
        <v>0.99</v>
      </c>
      <c r="S28" s="17">
        <v>0.77</v>
      </c>
      <c r="T28" s="17">
        <v>20081231</v>
      </c>
      <c r="U28" s="17">
        <v>20190731</v>
      </c>
      <c r="V28" s="17">
        <v>128</v>
      </c>
    </row>
    <row r="29" spans="1:22">
      <c r="A29" s="17" t="s">
        <v>1346</v>
      </c>
      <c r="B29" s="38">
        <v>1.55E-2</v>
      </c>
      <c r="C29" s="38">
        <v>2.5100000000000001E-2</v>
      </c>
      <c r="D29" s="38">
        <v>4.82E-2</v>
      </c>
      <c r="E29" s="38">
        <v>4.0599999999999997E-2</v>
      </c>
      <c r="F29" s="38">
        <v>3.3099999999999997E-2</v>
      </c>
      <c r="G29" s="38">
        <v>-1.5E-3</v>
      </c>
      <c r="H29" s="38">
        <v>2.81E-2</v>
      </c>
      <c r="I29" s="38">
        <v>3.2000000000000001E-2</v>
      </c>
      <c r="J29" s="38">
        <v>5.4800000000000001E-2</v>
      </c>
      <c r="K29" s="38">
        <v>4.0300000000000002E-2</v>
      </c>
      <c r="L29" s="38">
        <v>4.4699999999999997E-2</v>
      </c>
      <c r="M29" s="38">
        <v>3.2000000000000001E-2</v>
      </c>
      <c r="N29" s="17">
        <v>2.48</v>
      </c>
      <c r="O29" s="17">
        <v>2.8E-3</v>
      </c>
      <c r="P29" s="17">
        <v>2.21</v>
      </c>
      <c r="Q29" s="17">
        <v>0.94</v>
      </c>
      <c r="R29" s="17">
        <v>0.97899999999999998</v>
      </c>
      <c r="S29" s="17">
        <v>0.8</v>
      </c>
      <c r="T29" s="17">
        <v>20081231</v>
      </c>
      <c r="U29" s="17">
        <v>20190731</v>
      </c>
      <c r="V29" s="17">
        <v>128</v>
      </c>
    </row>
    <row r="30" spans="1:22">
      <c r="A30" s="17" t="s">
        <v>1338</v>
      </c>
      <c r="B30" s="38">
        <v>4.8999999999999998E-3</v>
      </c>
      <c r="C30" s="38">
        <v>4.9399999999999999E-2</v>
      </c>
      <c r="D30" s="38">
        <v>2.3800000000000002E-2</v>
      </c>
      <c r="E30" s="38">
        <v>2.1499999999999998E-2</v>
      </c>
      <c r="F30" s="38">
        <v>1.67E-2</v>
      </c>
      <c r="G30" s="38">
        <v>2.12E-2</v>
      </c>
      <c r="H30" s="38">
        <v>1.52E-2</v>
      </c>
      <c r="I30" s="38">
        <v>4.8300000000000003E-2</v>
      </c>
      <c r="J30" s="38">
        <v>4.3200000000000002E-2</v>
      </c>
      <c r="K30" s="38">
        <v>5.6800000000000003E-2</v>
      </c>
      <c r="L30" s="38">
        <v>5.0900000000000001E-2</v>
      </c>
      <c r="M30" s="38">
        <v>3.1E-2</v>
      </c>
      <c r="N30" s="17">
        <v>1.94</v>
      </c>
      <c r="O30" s="17">
        <v>1.9E-3</v>
      </c>
      <c r="P30" s="17">
        <v>1.1399999999999999</v>
      </c>
      <c r="Q30" s="17">
        <v>0.52</v>
      </c>
      <c r="R30" s="17">
        <v>0.99</v>
      </c>
      <c r="S30" s="17">
        <v>0.77</v>
      </c>
      <c r="T30" s="17">
        <v>20081231</v>
      </c>
      <c r="U30" s="17">
        <v>20190731</v>
      </c>
      <c r="V30" s="17">
        <v>128</v>
      </c>
    </row>
    <row r="31" spans="1:22">
      <c r="A31" s="17" t="s">
        <v>1311</v>
      </c>
      <c r="B31" s="38">
        <v>2.7000000000000001E-3</v>
      </c>
      <c r="C31" s="38">
        <v>7.3800000000000004E-2</v>
      </c>
      <c r="D31" s="38">
        <v>3.7999999999999999E-2</v>
      </c>
      <c r="E31" s="38">
        <v>4.4299999999999999E-2</v>
      </c>
      <c r="F31" s="38">
        <v>3.8E-3</v>
      </c>
      <c r="G31" s="38">
        <v>2.2000000000000001E-3</v>
      </c>
      <c r="H31" s="38">
        <v>6.8699999999999997E-2</v>
      </c>
      <c r="I31" s="38">
        <v>3.7900000000000003E-2</v>
      </c>
      <c r="J31" s="38">
        <v>4.7399999999999998E-2</v>
      </c>
      <c r="K31" s="38">
        <v>-2E-3</v>
      </c>
      <c r="L31" s="38">
        <v>1.2500000000000001E-2</v>
      </c>
      <c r="M31" s="38">
        <v>0.03</v>
      </c>
      <c r="N31" s="17">
        <v>1.65</v>
      </c>
      <c r="O31" s="17">
        <v>2.2000000000000001E-3</v>
      </c>
      <c r="P31" s="17">
        <v>1.2</v>
      </c>
      <c r="Q31" s="17">
        <v>0.67</v>
      </c>
      <c r="R31" s="17">
        <v>0.90500000000000003</v>
      </c>
      <c r="S31" s="17">
        <v>0.86</v>
      </c>
      <c r="T31" s="17">
        <v>20081231</v>
      </c>
      <c r="U31" s="17">
        <v>20190731</v>
      </c>
      <c r="V31" s="17">
        <v>128</v>
      </c>
    </row>
    <row r="32" spans="1:22">
      <c r="A32" s="17" t="s">
        <v>1329</v>
      </c>
      <c r="B32" s="38">
        <v>2.8799999999999999E-2</v>
      </c>
      <c r="C32" s="38">
        <v>3.9E-2</v>
      </c>
      <c r="D32" s="38">
        <v>2.69E-2</v>
      </c>
      <c r="E32" s="38">
        <v>5.1799999999999999E-2</v>
      </c>
      <c r="F32" s="38">
        <v>1.46E-2</v>
      </c>
      <c r="G32" s="38">
        <v>-7.4999999999999997E-3</v>
      </c>
      <c r="H32" s="38">
        <v>4.1599999999999998E-2</v>
      </c>
      <c r="I32" s="38">
        <v>3.2500000000000001E-2</v>
      </c>
      <c r="J32" s="38">
        <v>4.58E-2</v>
      </c>
      <c r="K32" s="38">
        <v>3.6700000000000003E-2</v>
      </c>
      <c r="L32" s="38">
        <v>2.0299999999999999E-2</v>
      </c>
      <c r="M32" s="38">
        <v>0.03</v>
      </c>
      <c r="N32" s="17">
        <v>1.63</v>
      </c>
      <c r="O32" s="17">
        <v>1.4E-3</v>
      </c>
      <c r="P32" s="17">
        <v>0.94</v>
      </c>
      <c r="Q32" s="17">
        <v>0.51</v>
      </c>
      <c r="R32" s="17">
        <v>0.99099999999999999</v>
      </c>
      <c r="S32" s="17">
        <v>0.9</v>
      </c>
      <c r="T32" s="17">
        <v>20081231</v>
      </c>
      <c r="U32" s="17">
        <v>20190731</v>
      </c>
      <c r="V32" s="17">
        <v>128</v>
      </c>
    </row>
    <row r="33" spans="1:22">
      <c r="A33" s="17" t="s">
        <v>1316</v>
      </c>
      <c r="B33" s="38">
        <v>-2.7000000000000001E-3</v>
      </c>
      <c r="C33" s="38">
        <v>6.6000000000000003E-2</v>
      </c>
      <c r="D33" s="38">
        <v>3.3099999999999997E-2</v>
      </c>
      <c r="E33" s="38">
        <v>4.8000000000000001E-2</v>
      </c>
      <c r="F33" s="38">
        <v>1.49E-2</v>
      </c>
      <c r="G33" s="38">
        <v>-5.0000000000000001E-3</v>
      </c>
      <c r="H33" s="38">
        <v>7.22E-2</v>
      </c>
      <c r="I33" s="38">
        <v>4.8399999999999999E-2</v>
      </c>
      <c r="J33" s="38">
        <v>6.4899999999999999E-2</v>
      </c>
      <c r="K33" s="38">
        <v>-4.3299999999999998E-2</v>
      </c>
      <c r="L33" s="38">
        <v>1.9900000000000001E-2</v>
      </c>
      <c r="M33" s="38">
        <v>2.9000000000000001E-2</v>
      </c>
      <c r="N33" s="17">
        <v>1.45</v>
      </c>
      <c r="O33" s="17">
        <v>2.3999999999999998E-3</v>
      </c>
      <c r="P33" s="17">
        <v>1.38</v>
      </c>
      <c r="Q33" s="17">
        <v>0.57999999999999996</v>
      </c>
      <c r="R33" s="17">
        <v>0.55200000000000005</v>
      </c>
      <c r="S33" s="17">
        <v>0.88</v>
      </c>
      <c r="T33" s="17">
        <v>20081231</v>
      </c>
      <c r="U33" s="17">
        <v>20190731</v>
      </c>
      <c r="V33" s="17">
        <v>128</v>
      </c>
    </row>
    <row r="34" spans="1:22">
      <c r="A34" s="17" t="s">
        <v>1336</v>
      </c>
      <c r="B34" s="38">
        <v>1.1299999999999999E-2</v>
      </c>
      <c r="C34" s="38">
        <v>5.2200000000000003E-2</v>
      </c>
      <c r="D34" s="38">
        <v>1.6899999999999998E-2</v>
      </c>
      <c r="E34" s="38">
        <v>2.0799999999999999E-2</v>
      </c>
      <c r="F34" s="38">
        <v>2.06E-2</v>
      </c>
      <c r="G34" s="38">
        <v>1.3299999999999999E-2</v>
      </c>
      <c r="H34" s="38">
        <v>2.3099999999999999E-2</v>
      </c>
      <c r="I34" s="38">
        <v>3.7600000000000001E-2</v>
      </c>
      <c r="J34" s="38">
        <v>4.24E-2</v>
      </c>
      <c r="K34" s="38">
        <v>4.3700000000000003E-2</v>
      </c>
      <c r="L34" s="38">
        <v>3.8199999999999998E-2</v>
      </c>
      <c r="M34" s="38">
        <v>2.9000000000000001E-2</v>
      </c>
      <c r="N34" s="17">
        <v>1.78</v>
      </c>
      <c r="O34" s="17">
        <v>1.8E-3</v>
      </c>
      <c r="P34" s="17">
        <v>1.1200000000000001</v>
      </c>
      <c r="Q34" s="17">
        <v>0.5</v>
      </c>
      <c r="R34" s="17">
        <v>0.93799999999999994</v>
      </c>
      <c r="S34" s="17">
        <v>0.76</v>
      </c>
      <c r="T34" s="17">
        <v>20081231</v>
      </c>
      <c r="U34" s="17">
        <v>20190731</v>
      </c>
      <c r="V34" s="17">
        <v>128</v>
      </c>
    </row>
    <row r="35" spans="1:22">
      <c r="A35" s="17" t="s">
        <v>1281</v>
      </c>
      <c r="B35" s="38">
        <v>2.7699999999999999E-2</v>
      </c>
      <c r="C35" s="38">
        <v>2.8400000000000002E-2</v>
      </c>
      <c r="D35" s="38">
        <v>1.7899999999999999E-2</v>
      </c>
      <c r="E35" s="38">
        <v>5.0500000000000003E-2</v>
      </c>
      <c r="F35" s="38">
        <v>3.3099999999999997E-2</v>
      </c>
      <c r="G35" s="38">
        <v>1.5800000000000002E-2</v>
      </c>
      <c r="H35" s="38">
        <v>-7.1000000000000004E-3</v>
      </c>
      <c r="I35" s="38">
        <v>1.6199999999999999E-2</v>
      </c>
      <c r="J35" s="38">
        <v>4.41E-2</v>
      </c>
      <c r="K35" s="38">
        <v>5.0700000000000002E-2</v>
      </c>
      <c r="L35" s="38">
        <v>3.3500000000000002E-2</v>
      </c>
      <c r="M35" s="38">
        <v>2.8000000000000001E-2</v>
      </c>
      <c r="N35" s="17">
        <v>1.98</v>
      </c>
      <c r="O35" s="17">
        <v>2.0999999999999999E-3</v>
      </c>
      <c r="P35" s="17">
        <v>1.56</v>
      </c>
      <c r="Q35" s="17">
        <v>0.67</v>
      </c>
      <c r="R35" s="17">
        <v>0.999</v>
      </c>
      <c r="S35" s="17">
        <v>0.62</v>
      </c>
      <c r="T35" s="17">
        <v>20081231</v>
      </c>
      <c r="U35" s="17">
        <v>20190731</v>
      </c>
      <c r="V35" s="17">
        <v>128</v>
      </c>
    </row>
    <row r="36" spans="1:22">
      <c r="A36" s="17" t="s">
        <v>2303</v>
      </c>
      <c r="B36" s="38">
        <v>2.6499999999999999E-2</v>
      </c>
      <c r="C36" s="38">
        <v>7.4200000000000002E-2</v>
      </c>
      <c r="D36" s="38">
        <v>3.04E-2</v>
      </c>
      <c r="E36" s="38">
        <v>5.1999999999999998E-2</v>
      </c>
      <c r="F36" s="38">
        <v>-9.4000000000000004E-3</v>
      </c>
      <c r="G36" s="38">
        <v>2.0199999999999999E-2</v>
      </c>
      <c r="H36" s="38">
        <v>2.87E-2</v>
      </c>
      <c r="I36" s="38">
        <v>1.7000000000000001E-2</v>
      </c>
      <c r="J36" s="38">
        <v>5.57E-2</v>
      </c>
      <c r="K36" s="38">
        <v>-1.6899999999999998E-2</v>
      </c>
      <c r="L36" s="38">
        <v>2.58E-2</v>
      </c>
      <c r="M36" s="38">
        <v>2.8000000000000001E-2</v>
      </c>
      <c r="N36" s="17">
        <v>1.45</v>
      </c>
      <c r="O36" s="17">
        <v>2.8E-3</v>
      </c>
      <c r="P36" s="17">
        <v>1.23</v>
      </c>
      <c r="Q36" s="17">
        <v>0.67</v>
      </c>
      <c r="R36" s="17">
        <v>0.84899999999999998</v>
      </c>
      <c r="S36" s="17">
        <v>0.91</v>
      </c>
      <c r="T36" s="17">
        <v>20081231</v>
      </c>
      <c r="U36" s="17">
        <v>20190731</v>
      </c>
      <c r="V36" s="17">
        <v>128</v>
      </c>
    </row>
    <row r="37" spans="1:22">
      <c r="A37" s="17" t="s">
        <v>1280</v>
      </c>
      <c r="B37" s="38">
        <v>2.86E-2</v>
      </c>
      <c r="C37" s="38">
        <v>3.2399999999999998E-2</v>
      </c>
      <c r="D37" s="38">
        <v>1.2800000000000001E-2</v>
      </c>
      <c r="E37" s="38">
        <v>4.48E-2</v>
      </c>
      <c r="F37" s="38">
        <v>3.5499999999999997E-2</v>
      </c>
      <c r="G37" s="38">
        <v>2.3599999999999999E-2</v>
      </c>
      <c r="H37" s="38">
        <v>-6.7999999999999996E-3</v>
      </c>
      <c r="I37" s="38">
        <v>1.2200000000000001E-2</v>
      </c>
      <c r="J37" s="38">
        <v>4.5900000000000003E-2</v>
      </c>
      <c r="K37" s="38">
        <v>2.93E-2</v>
      </c>
      <c r="L37" s="38">
        <v>2.3199999999999998E-2</v>
      </c>
      <c r="M37" s="38">
        <v>2.5999999999999999E-2</v>
      </c>
      <c r="N37" s="17">
        <v>1.92</v>
      </c>
      <c r="O37" s="17">
        <v>1.8E-3</v>
      </c>
      <c r="P37" s="17">
        <v>1.38</v>
      </c>
      <c r="Q37" s="17">
        <v>0.62</v>
      </c>
      <c r="R37" s="17">
        <v>0.999</v>
      </c>
      <c r="S37" s="17">
        <v>0.71</v>
      </c>
      <c r="T37" s="17">
        <v>20081231</v>
      </c>
      <c r="U37" s="17">
        <v>20190731</v>
      </c>
      <c r="V37" s="17">
        <v>128</v>
      </c>
    </row>
    <row r="38" spans="1:22">
      <c r="A38" s="17" t="s">
        <v>1294</v>
      </c>
      <c r="B38" s="38">
        <v>-6.9999999999999999E-4</v>
      </c>
      <c r="C38" s="38">
        <v>1.34E-2</v>
      </c>
      <c r="D38" s="38">
        <v>2.76E-2</v>
      </c>
      <c r="E38" s="38">
        <v>3.2000000000000001E-2</v>
      </c>
      <c r="F38" s="38">
        <v>3.09E-2</v>
      </c>
      <c r="G38" s="38">
        <v>1.4E-2</v>
      </c>
      <c r="H38" s="38">
        <v>5.4899999999999997E-2</v>
      </c>
      <c r="I38" s="38">
        <v>1.7399999999999999E-2</v>
      </c>
      <c r="J38" s="38">
        <v>3.3599999999999998E-2</v>
      </c>
      <c r="K38" s="38">
        <v>2.4400000000000002E-2</v>
      </c>
      <c r="L38" s="38">
        <v>3.1199999999999999E-2</v>
      </c>
      <c r="M38" s="38">
        <v>2.5000000000000001E-2</v>
      </c>
      <c r="N38" s="17">
        <v>1.53</v>
      </c>
      <c r="O38" s="17">
        <v>1.5E-3</v>
      </c>
      <c r="P38" s="17">
        <v>0.97</v>
      </c>
      <c r="Q38" s="17">
        <v>0.5</v>
      </c>
      <c r="R38" s="17">
        <v>0.999</v>
      </c>
      <c r="S38" s="17">
        <v>0.89</v>
      </c>
      <c r="T38" s="17">
        <v>20081231</v>
      </c>
      <c r="U38" s="17">
        <v>20190731</v>
      </c>
      <c r="V38" s="17">
        <v>128</v>
      </c>
    </row>
    <row r="39" spans="1:22">
      <c r="A39" s="17" t="s">
        <v>1324</v>
      </c>
      <c r="B39" s="38">
        <v>4.3E-3</v>
      </c>
      <c r="C39" s="38">
        <v>2.4400000000000002E-2</v>
      </c>
      <c r="D39" s="38">
        <v>2.1600000000000001E-2</v>
      </c>
      <c r="E39" s="38">
        <v>3.5499999999999997E-2</v>
      </c>
      <c r="F39" s="38">
        <v>2.3800000000000002E-2</v>
      </c>
      <c r="G39" s="38">
        <v>1.06E-2</v>
      </c>
      <c r="H39" s="38">
        <v>2.4899999999999999E-2</v>
      </c>
      <c r="I39" s="38">
        <v>1.6400000000000001E-2</v>
      </c>
      <c r="J39" s="38">
        <v>4.8500000000000001E-2</v>
      </c>
      <c r="K39" s="38">
        <v>2.3400000000000001E-2</v>
      </c>
      <c r="L39" s="38">
        <v>5.6300000000000003E-2</v>
      </c>
      <c r="M39" s="38">
        <v>2.5000000000000001E-2</v>
      </c>
      <c r="N39" s="17">
        <v>2.02</v>
      </c>
      <c r="O39" s="17">
        <v>1.6999999999999999E-3</v>
      </c>
      <c r="P39" s="17">
        <v>1.41</v>
      </c>
      <c r="Q39" s="17">
        <v>0.59</v>
      </c>
      <c r="R39" s="17">
        <v>0.98199999999999998</v>
      </c>
      <c r="S39" s="17">
        <v>0.66</v>
      </c>
      <c r="T39" s="17">
        <v>20081231</v>
      </c>
      <c r="U39" s="17">
        <v>20190731</v>
      </c>
      <c r="V39" s="17">
        <v>128</v>
      </c>
    </row>
    <row r="40" spans="1:22">
      <c r="A40" s="17" t="s">
        <v>1334</v>
      </c>
      <c r="B40" s="38">
        <v>-1.03E-2</v>
      </c>
      <c r="C40" s="38">
        <v>2.98E-2</v>
      </c>
      <c r="D40" s="38">
        <v>3.9600000000000003E-2</v>
      </c>
      <c r="E40" s="38">
        <v>3.6700000000000003E-2</v>
      </c>
      <c r="F40" s="38">
        <v>9.7000000000000003E-3</v>
      </c>
      <c r="G40" s="38">
        <v>-1.12E-2</v>
      </c>
      <c r="H40" s="38">
        <v>3.15E-2</v>
      </c>
      <c r="I40" s="38">
        <v>2.1299999999999999E-2</v>
      </c>
      <c r="J40" s="38">
        <v>6.2700000000000006E-2</v>
      </c>
      <c r="K40" s="38">
        <v>1.3599999999999999E-2</v>
      </c>
      <c r="L40" s="38">
        <v>4.6699999999999998E-2</v>
      </c>
      <c r="M40" s="38">
        <v>2.4E-2</v>
      </c>
      <c r="N40" s="17">
        <v>1.48</v>
      </c>
      <c r="O40" s="17">
        <v>2E-3</v>
      </c>
      <c r="P40" s="17">
        <v>1.07</v>
      </c>
      <c r="Q40" s="17">
        <v>0.6</v>
      </c>
      <c r="R40" s="17">
        <v>0.99099999999999999</v>
      </c>
      <c r="S40" s="17">
        <v>0.9</v>
      </c>
      <c r="T40" s="17">
        <v>20081231</v>
      </c>
      <c r="U40" s="17">
        <v>20190731</v>
      </c>
      <c r="V40" s="17">
        <v>128</v>
      </c>
    </row>
    <row r="41" spans="1:22">
      <c r="A41" s="17" t="s">
        <v>1341</v>
      </c>
      <c r="B41" s="38">
        <v>7.4999999999999997E-3</v>
      </c>
      <c r="C41" s="38">
        <v>2.1299999999999999E-2</v>
      </c>
      <c r="D41" s="38">
        <v>3.2500000000000001E-2</v>
      </c>
      <c r="E41" s="38">
        <v>1.09E-2</v>
      </c>
      <c r="F41" s="38">
        <v>3.1099999999999999E-2</v>
      </c>
      <c r="G41" s="38">
        <v>-5.3E-3</v>
      </c>
      <c r="H41" s="38">
        <v>1.8700000000000001E-2</v>
      </c>
      <c r="I41" s="38">
        <v>2.8899999999999999E-2</v>
      </c>
      <c r="J41" s="38">
        <v>3.8899999999999997E-2</v>
      </c>
      <c r="K41" s="38">
        <v>4.3099999999999999E-2</v>
      </c>
      <c r="L41" s="38">
        <v>2.6800000000000001E-2</v>
      </c>
      <c r="M41" s="38">
        <v>2.3E-2</v>
      </c>
      <c r="N41" s="17">
        <v>1.67</v>
      </c>
      <c r="O41" s="17">
        <v>2E-3</v>
      </c>
      <c r="P41" s="17">
        <v>1.28</v>
      </c>
      <c r="Q41" s="17">
        <v>0.65</v>
      </c>
      <c r="R41" s="17">
        <v>0.90500000000000003</v>
      </c>
      <c r="S41" s="17">
        <v>0.8</v>
      </c>
      <c r="T41" s="17">
        <v>20081231</v>
      </c>
      <c r="U41" s="17">
        <v>20190731</v>
      </c>
      <c r="V41" s="17">
        <v>128</v>
      </c>
    </row>
    <row r="42" spans="1:22">
      <c r="A42" s="17" t="s">
        <v>1289</v>
      </c>
      <c r="B42" s="38">
        <v>0.06</v>
      </c>
      <c r="C42" s="38">
        <v>2.1000000000000001E-2</v>
      </c>
      <c r="D42" s="38">
        <v>-5.4999999999999997E-3</v>
      </c>
      <c r="E42" s="38">
        <v>5.7999999999999996E-3</v>
      </c>
      <c r="F42" s="38">
        <v>3.0300000000000001E-2</v>
      </c>
      <c r="G42" s="38">
        <v>1.2E-2</v>
      </c>
      <c r="H42" s="38">
        <v>1.8200000000000001E-2</v>
      </c>
      <c r="I42" s="38">
        <v>4.0099999999999997E-2</v>
      </c>
      <c r="J42" s="38">
        <v>4.2799999999999998E-2</v>
      </c>
      <c r="K42" s="38">
        <v>1.5599999999999999E-2</v>
      </c>
      <c r="L42" s="38">
        <v>-3.3999999999999998E-3</v>
      </c>
      <c r="M42" s="38">
        <v>2.1999999999999999E-2</v>
      </c>
      <c r="N42" s="17">
        <v>1.04</v>
      </c>
      <c r="O42" s="34">
        <v>8.9999999999999998E-4</v>
      </c>
      <c r="P42" s="17">
        <v>0.79</v>
      </c>
      <c r="Q42" s="17">
        <v>0.28000000000000003</v>
      </c>
      <c r="R42" s="17">
        <v>0.89700000000000002</v>
      </c>
      <c r="S42" s="17">
        <v>0.86</v>
      </c>
      <c r="T42" s="17">
        <v>20081231</v>
      </c>
      <c r="U42" s="17">
        <v>20190731</v>
      </c>
      <c r="V42" s="17">
        <v>128</v>
      </c>
    </row>
    <row r="43" spans="1:22">
      <c r="A43" s="17" t="s">
        <v>1290</v>
      </c>
      <c r="B43" s="38">
        <v>-1.14E-2</v>
      </c>
      <c r="C43" s="38">
        <v>8.8999999999999999E-3</v>
      </c>
      <c r="D43" s="38">
        <v>5.1700000000000003E-2</v>
      </c>
      <c r="E43" s="38">
        <v>2.35E-2</v>
      </c>
      <c r="F43" s="38">
        <v>-1E-3</v>
      </c>
      <c r="G43" s="38">
        <v>-1.2500000000000001E-2</v>
      </c>
      <c r="H43" s="38">
        <v>4.1200000000000001E-2</v>
      </c>
      <c r="I43" s="38">
        <v>2.4299999999999999E-2</v>
      </c>
      <c r="J43" s="38">
        <v>5.04E-2</v>
      </c>
      <c r="K43" s="38">
        <v>2.01E-2</v>
      </c>
      <c r="L43" s="38">
        <v>3.7499999999999999E-2</v>
      </c>
      <c r="M43" s="38">
        <v>2.1000000000000001E-2</v>
      </c>
      <c r="N43" s="17">
        <v>1.17</v>
      </c>
      <c r="O43" s="17">
        <v>1.6000000000000001E-3</v>
      </c>
      <c r="P43" s="17">
        <v>0.86</v>
      </c>
      <c r="Q43" s="17">
        <v>0.46</v>
      </c>
      <c r="R43" s="17">
        <v>0.999</v>
      </c>
      <c r="S43" s="17">
        <v>0.89</v>
      </c>
      <c r="T43" s="17">
        <v>20081231</v>
      </c>
      <c r="U43" s="17">
        <v>20190731</v>
      </c>
      <c r="V43" s="17">
        <v>128</v>
      </c>
    </row>
    <row r="44" spans="1:22">
      <c r="A44" s="17" t="s">
        <v>1298</v>
      </c>
      <c r="B44" s="38">
        <v>-4.7000000000000002E-3</v>
      </c>
      <c r="C44" s="38">
        <v>3.9100000000000003E-2</v>
      </c>
      <c r="D44" s="38">
        <v>2.12E-2</v>
      </c>
      <c r="E44" s="38">
        <v>2.6499999999999999E-2</v>
      </c>
      <c r="F44" s="38">
        <v>1.9099999999999999E-2</v>
      </c>
      <c r="G44" s="38">
        <v>-8.2000000000000007E-3</v>
      </c>
      <c r="H44" s="38">
        <v>3.0499999999999999E-2</v>
      </c>
      <c r="I44" s="38">
        <v>6.1999999999999998E-3</v>
      </c>
      <c r="J44" s="38">
        <v>5.7299999999999997E-2</v>
      </c>
      <c r="K44" s="38">
        <v>7.0000000000000001E-3</v>
      </c>
      <c r="L44" s="38">
        <v>4.99E-2</v>
      </c>
      <c r="M44" s="38">
        <v>2.1000000000000001E-2</v>
      </c>
      <c r="N44" s="17">
        <v>1.34</v>
      </c>
      <c r="O44" s="17">
        <v>1.4E-3</v>
      </c>
      <c r="P44" s="17">
        <v>0.83</v>
      </c>
      <c r="Q44" s="17">
        <v>0.5</v>
      </c>
      <c r="R44" s="17">
        <v>0.97699999999999998</v>
      </c>
      <c r="S44" s="17">
        <v>0.91</v>
      </c>
      <c r="T44" s="17">
        <v>20081231</v>
      </c>
      <c r="U44" s="17">
        <v>20190731</v>
      </c>
      <c r="V44" s="17">
        <v>128</v>
      </c>
    </row>
    <row r="45" spans="1:22">
      <c r="A45" s="17" t="s">
        <v>1317</v>
      </c>
      <c r="B45" s="38">
        <v>-1.2E-2</v>
      </c>
      <c r="C45" s="38">
        <v>6.2700000000000006E-2</v>
      </c>
      <c r="D45" s="38">
        <v>2.8199999999999999E-2</v>
      </c>
      <c r="E45" s="38">
        <v>3.2599999999999997E-2</v>
      </c>
      <c r="F45" s="38">
        <v>9.4999999999999998E-3</v>
      </c>
      <c r="G45" s="38">
        <v>-1.15E-2</v>
      </c>
      <c r="H45" s="38">
        <v>4.8099999999999997E-2</v>
      </c>
      <c r="I45" s="38">
        <v>2.98E-2</v>
      </c>
      <c r="J45" s="38">
        <v>5.4800000000000001E-2</v>
      </c>
      <c r="K45" s="38">
        <v>-3.0200000000000001E-2</v>
      </c>
      <c r="L45" s="38">
        <v>1.2E-2</v>
      </c>
      <c r="M45" s="38">
        <v>2.1000000000000001E-2</v>
      </c>
      <c r="N45" s="17">
        <v>1.1200000000000001</v>
      </c>
      <c r="O45" s="17">
        <v>1.8E-3</v>
      </c>
      <c r="P45" s="17">
        <v>1.1000000000000001</v>
      </c>
      <c r="Q45" s="17">
        <v>0.42</v>
      </c>
      <c r="R45" s="17">
        <v>0.55800000000000005</v>
      </c>
      <c r="S45" s="17">
        <v>0.88</v>
      </c>
      <c r="T45" s="17">
        <v>20081231</v>
      </c>
      <c r="U45" s="17">
        <v>20190731</v>
      </c>
      <c r="V45" s="17">
        <v>128</v>
      </c>
    </row>
    <row r="46" spans="1:22">
      <c r="A46" s="17" t="s">
        <v>1344</v>
      </c>
      <c r="B46" s="38">
        <v>1.5599999999999999E-2</v>
      </c>
      <c r="C46" s="38">
        <v>5.5999999999999999E-3</v>
      </c>
      <c r="D46" s="38">
        <v>2.52E-2</v>
      </c>
      <c r="E46" s="38">
        <v>1.14E-2</v>
      </c>
      <c r="F46" s="38">
        <v>2.76E-2</v>
      </c>
      <c r="G46" s="38">
        <v>1.06E-2</v>
      </c>
      <c r="H46" s="38">
        <v>8.9999999999999993E-3</v>
      </c>
      <c r="I46" s="38">
        <v>1.67E-2</v>
      </c>
      <c r="J46" s="38">
        <v>5.1700000000000003E-2</v>
      </c>
      <c r="K46" s="38">
        <v>2.4799999999999999E-2</v>
      </c>
      <c r="L46" s="38">
        <v>2.69E-2</v>
      </c>
      <c r="M46" s="38">
        <v>0.02</v>
      </c>
      <c r="N46" s="17">
        <v>1.72</v>
      </c>
      <c r="O46" s="17">
        <v>2.3E-3</v>
      </c>
      <c r="P46" s="17">
        <v>1.63</v>
      </c>
      <c r="Q46" s="17">
        <v>0.65</v>
      </c>
      <c r="R46" s="17">
        <v>0.877</v>
      </c>
      <c r="S46" s="17">
        <v>0.86</v>
      </c>
      <c r="T46" s="17">
        <v>20081231</v>
      </c>
      <c r="U46" s="17">
        <v>20190731</v>
      </c>
      <c r="V46" s="17">
        <v>128</v>
      </c>
    </row>
    <row r="47" spans="1:22">
      <c r="A47" s="17" t="s">
        <v>1288</v>
      </c>
      <c r="B47" s="38">
        <v>1.7000000000000001E-2</v>
      </c>
      <c r="C47" s="38">
        <v>3.4200000000000001E-2</v>
      </c>
      <c r="D47" s="38">
        <v>1.1599999999999999E-2</v>
      </c>
      <c r="E47" s="38">
        <v>2.6599999999999999E-2</v>
      </c>
      <c r="F47" s="38">
        <v>7.4000000000000003E-3</v>
      </c>
      <c r="G47" s="38">
        <v>3.3000000000000002E-2</v>
      </c>
      <c r="H47" s="38">
        <v>4.7800000000000002E-2</v>
      </c>
      <c r="I47" s="38">
        <v>2.75E-2</v>
      </c>
      <c r="J47" s="38">
        <v>1.95E-2</v>
      </c>
      <c r="K47" s="38">
        <v>-1.7399999999999999E-2</v>
      </c>
      <c r="L47" s="38">
        <v>-1.2699999999999999E-2</v>
      </c>
      <c r="M47" s="38">
        <v>1.9E-2</v>
      </c>
      <c r="N47" s="17">
        <v>1.3</v>
      </c>
      <c r="O47" s="17">
        <v>1.6000000000000001E-3</v>
      </c>
      <c r="P47" s="17">
        <v>1.18</v>
      </c>
      <c r="Q47" s="17">
        <v>0.47</v>
      </c>
      <c r="R47" s="17">
        <v>0.99299999999999999</v>
      </c>
      <c r="S47" s="17">
        <v>0.92</v>
      </c>
      <c r="T47" s="17">
        <v>20081231</v>
      </c>
      <c r="U47" s="17">
        <v>20190731</v>
      </c>
      <c r="V47" s="17">
        <v>128</v>
      </c>
    </row>
    <row r="48" spans="1:22">
      <c r="A48" s="17" t="s">
        <v>1302</v>
      </c>
      <c r="B48" s="38">
        <v>8.9999999999999998E-4</v>
      </c>
      <c r="C48" s="38">
        <v>2.69E-2</v>
      </c>
      <c r="D48" s="38">
        <v>1.7100000000000001E-2</v>
      </c>
      <c r="E48" s="38">
        <v>1.3100000000000001E-2</v>
      </c>
      <c r="F48" s="38">
        <v>2.9499999999999998E-2</v>
      </c>
      <c r="G48" s="38">
        <v>1.01E-2</v>
      </c>
      <c r="H48" s="38">
        <v>-3.6900000000000002E-2</v>
      </c>
      <c r="I48" s="38">
        <v>3.3700000000000001E-2</v>
      </c>
      <c r="J48" s="38">
        <v>4.58E-2</v>
      </c>
      <c r="K48" s="38">
        <v>3.5299999999999998E-2</v>
      </c>
      <c r="L48" s="38">
        <v>4.4499999999999998E-2</v>
      </c>
      <c r="M48" s="38">
        <v>1.9E-2</v>
      </c>
      <c r="N48" s="17">
        <v>1.02</v>
      </c>
      <c r="O48" s="17">
        <v>1.5E-3</v>
      </c>
      <c r="P48" s="17">
        <v>0.79</v>
      </c>
      <c r="Q48" s="17">
        <v>0.51</v>
      </c>
      <c r="R48" s="17">
        <v>0.998</v>
      </c>
      <c r="S48" s="17">
        <v>0.71</v>
      </c>
      <c r="T48" s="17">
        <v>20081231</v>
      </c>
      <c r="U48" s="17">
        <v>20190731</v>
      </c>
      <c r="V48" s="17">
        <v>128</v>
      </c>
    </row>
    <row r="49" spans="1:22">
      <c r="A49" s="17" t="s">
        <v>735</v>
      </c>
      <c r="B49" s="38">
        <v>2.23E-2</v>
      </c>
      <c r="C49" s="38">
        <v>9.7999999999999997E-3</v>
      </c>
      <c r="D49" s="38">
        <v>9.2999999999999992E-3</v>
      </c>
      <c r="E49" s="38">
        <v>3.4299999999999997E-2</v>
      </c>
      <c r="F49" s="38">
        <v>2.3400000000000001E-2</v>
      </c>
      <c r="G49" s="38">
        <v>2.7799999999999998E-2</v>
      </c>
      <c r="H49" s="38">
        <v>4.4299999999999999E-2</v>
      </c>
      <c r="I49" s="38">
        <v>2.06E-2</v>
      </c>
      <c r="J49" s="38">
        <v>2.3400000000000001E-2</v>
      </c>
      <c r="K49" s="38">
        <v>-1.6199999999999999E-2</v>
      </c>
      <c r="L49" s="38">
        <v>1.2999999999999999E-2</v>
      </c>
      <c r="M49" s="38">
        <v>1.9E-2</v>
      </c>
      <c r="N49" s="17">
        <v>1.28</v>
      </c>
      <c r="O49" s="34">
        <v>6.9999999999999999E-4</v>
      </c>
      <c r="P49" s="17">
        <v>0.57999999999999996</v>
      </c>
      <c r="Q49" s="17">
        <v>0.33</v>
      </c>
      <c r="R49" s="17">
        <v>0.999</v>
      </c>
      <c r="S49" s="17">
        <v>0.94</v>
      </c>
      <c r="T49" s="17">
        <v>20081231</v>
      </c>
      <c r="U49" s="17">
        <v>20190731</v>
      </c>
      <c r="V49" s="17">
        <v>128</v>
      </c>
    </row>
    <row r="50" spans="1:22">
      <c r="A50" s="17" t="s">
        <v>1318</v>
      </c>
      <c r="B50" s="38">
        <v>-5.9999999999999995E-4</v>
      </c>
      <c r="C50" s="38">
        <v>2.64E-2</v>
      </c>
      <c r="D50" s="38">
        <v>2.52E-2</v>
      </c>
      <c r="E50" s="38">
        <v>3.0599999999999999E-2</v>
      </c>
      <c r="F50" s="38">
        <v>2.4199999999999999E-2</v>
      </c>
      <c r="G50" s="38">
        <v>-2.5499999999999998E-2</v>
      </c>
      <c r="H50" s="38">
        <v>3.5000000000000003E-2</v>
      </c>
      <c r="I50" s="38">
        <v>2.0500000000000001E-2</v>
      </c>
      <c r="J50" s="38">
        <v>4.6300000000000001E-2</v>
      </c>
      <c r="K50" s="38">
        <v>-6.6E-3</v>
      </c>
      <c r="L50" s="38">
        <v>4.4699999999999997E-2</v>
      </c>
      <c r="M50" s="38">
        <v>1.9E-2</v>
      </c>
      <c r="N50" s="17">
        <v>0.99</v>
      </c>
      <c r="O50" s="17">
        <v>1.5E-3</v>
      </c>
      <c r="P50" s="17">
        <v>0.75</v>
      </c>
      <c r="Q50" s="17">
        <v>0.45</v>
      </c>
      <c r="R50" s="17">
        <v>0.97899999999999998</v>
      </c>
      <c r="S50" s="17">
        <v>0.93</v>
      </c>
      <c r="T50" s="17">
        <v>20081231</v>
      </c>
      <c r="U50" s="17">
        <v>20190731</v>
      </c>
      <c r="V50" s="17">
        <v>128</v>
      </c>
    </row>
    <row r="51" spans="1:22">
      <c r="A51" s="17" t="s">
        <v>1284</v>
      </c>
      <c r="B51" s="38">
        <v>8.3999999999999995E-3</v>
      </c>
      <c r="C51" s="38">
        <v>2.4199999999999999E-2</v>
      </c>
      <c r="D51" s="38">
        <v>3.73E-2</v>
      </c>
      <c r="E51" s="38">
        <v>4.7199999999999999E-2</v>
      </c>
      <c r="F51" s="38">
        <v>2.9000000000000001E-2</v>
      </c>
      <c r="G51" s="38">
        <v>-2.58E-2</v>
      </c>
      <c r="H51" s="38">
        <v>9.9000000000000008E-3</v>
      </c>
      <c r="I51" s="38">
        <v>-1.38E-2</v>
      </c>
      <c r="J51" s="38">
        <v>4.2700000000000002E-2</v>
      </c>
      <c r="K51" s="38">
        <v>1.5E-3</v>
      </c>
      <c r="L51" s="38">
        <v>4.3999999999999997E-2</v>
      </c>
      <c r="M51" s="38">
        <v>1.7999999999999999E-2</v>
      </c>
      <c r="N51" s="17">
        <v>0.98</v>
      </c>
      <c r="O51" s="17">
        <v>1.6999999999999999E-3</v>
      </c>
      <c r="P51" s="17">
        <v>0.82</v>
      </c>
      <c r="Q51" s="17">
        <v>0.46</v>
      </c>
      <c r="R51" s="17">
        <v>0.98</v>
      </c>
      <c r="S51" s="17">
        <v>0.87</v>
      </c>
      <c r="T51" s="17">
        <v>20081231</v>
      </c>
      <c r="U51" s="17">
        <v>20190731</v>
      </c>
      <c r="V51" s="17">
        <v>128</v>
      </c>
    </row>
    <row r="52" spans="1:22">
      <c r="A52" s="17" t="s">
        <v>1325</v>
      </c>
      <c r="B52" s="38">
        <v>5.1999999999999998E-3</v>
      </c>
      <c r="C52" s="38">
        <v>2.5499999999999998E-2</v>
      </c>
      <c r="D52" s="38">
        <v>1.55E-2</v>
      </c>
      <c r="E52" s="38">
        <v>2.9899999999999999E-2</v>
      </c>
      <c r="F52" s="38">
        <v>1.17E-2</v>
      </c>
      <c r="G52" s="38">
        <v>-3.1399999999999997E-2</v>
      </c>
      <c r="H52" s="38">
        <v>5.3999999999999999E-2</v>
      </c>
      <c r="I52" s="38">
        <v>4.7999999999999996E-3</v>
      </c>
      <c r="J52" s="38">
        <v>3.8899999999999997E-2</v>
      </c>
      <c r="K52" s="38">
        <v>2.1399999999999999E-2</v>
      </c>
      <c r="L52" s="38">
        <v>2.0299999999999999E-2</v>
      </c>
      <c r="M52" s="38">
        <v>1.7999999999999999E-2</v>
      </c>
      <c r="N52" s="17">
        <v>0.91</v>
      </c>
      <c r="O52" s="17">
        <v>1.5E-3</v>
      </c>
      <c r="P52" s="17">
        <v>0.75</v>
      </c>
      <c r="Q52" s="17">
        <v>0.53</v>
      </c>
      <c r="R52" s="17">
        <v>0.99</v>
      </c>
      <c r="S52" s="17">
        <v>0.97</v>
      </c>
      <c r="T52" s="17">
        <v>20081231</v>
      </c>
      <c r="U52" s="17">
        <v>20190731</v>
      </c>
      <c r="V52" s="17">
        <v>128</v>
      </c>
    </row>
    <row r="53" spans="1:22">
      <c r="A53" s="17" t="s">
        <v>1328</v>
      </c>
      <c r="B53" s="38">
        <v>-8.9999999999999998E-4</v>
      </c>
      <c r="C53" s="38">
        <v>2.47E-2</v>
      </c>
      <c r="D53" s="38">
        <v>1.2200000000000001E-2</v>
      </c>
      <c r="E53" s="38">
        <v>2.3900000000000001E-2</v>
      </c>
      <c r="F53" s="38">
        <v>2.12E-2</v>
      </c>
      <c r="G53" s="38">
        <v>-2.4E-2</v>
      </c>
      <c r="H53" s="38">
        <v>3.5999999999999997E-2</v>
      </c>
      <c r="I53" s="38">
        <v>0.02</v>
      </c>
      <c r="J53" s="38">
        <v>4.3400000000000001E-2</v>
      </c>
      <c r="K53" s="38">
        <v>5.4999999999999997E-3</v>
      </c>
      <c r="L53" s="38">
        <v>3.7499999999999999E-2</v>
      </c>
      <c r="M53" s="38">
        <v>1.7999999999999999E-2</v>
      </c>
      <c r="N53" s="17">
        <v>0.95</v>
      </c>
      <c r="O53" s="17">
        <v>1.4E-3</v>
      </c>
      <c r="P53" s="17">
        <v>0.73</v>
      </c>
      <c r="Q53" s="17">
        <v>0.48</v>
      </c>
      <c r="R53" s="17">
        <v>0.99</v>
      </c>
      <c r="S53" s="17">
        <v>0.97</v>
      </c>
      <c r="T53" s="17">
        <v>20081231</v>
      </c>
      <c r="U53" s="17">
        <v>20190731</v>
      </c>
      <c r="V53" s="17">
        <v>128</v>
      </c>
    </row>
    <row r="54" spans="1:22">
      <c r="A54" s="17" t="s">
        <v>1321</v>
      </c>
      <c r="B54" s="38">
        <v>2.3999999999999998E-3</v>
      </c>
      <c r="C54" s="38">
        <v>2.92E-2</v>
      </c>
      <c r="D54" s="38">
        <v>2.0400000000000001E-2</v>
      </c>
      <c r="E54" s="38">
        <v>2.7400000000000001E-2</v>
      </c>
      <c r="F54" s="38">
        <v>1.09E-2</v>
      </c>
      <c r="G54" s="38">
        <v>-2.9899999999999999E-2</v>
      </c>
      <c r="H54" s="38">
        <v>4.8300000000000003E-2</v>
      </c>
      <c r="I54" s="38">
        <v>7.4000000000000003E-3</v>
      </c>
      <c r="J54" s="38">
        <v>3.32E-2</v>
      </c>
      <c r="K54" s="38">
        <v>1.6799999999999999E-2</v>
      </c>
      <c r="L54" s="38">
        <v>2.9000000000000001E-2</v>
      </c>
      <c r="M54" s="38">
        <v>1.7000000000000001E-2</v>
      </c>
      <c r="N54" s="17">
        <v>0.92</v>
      </c>
      <c r="O54" s="17">
        <v>1.5E-3</v>
      </c>
      <c r="P54" s="17">
        <v>0.76</v>
      </c>
      <c r="Q54" s="17">
        <v>0.55000000000000004</v>
      </c>
      <c r="R54" s="17">
        <v>0.99</v>
      </c>
      <c r="S54" s="17">
        <v>0.97</v>
      </c>
      <c r="T54" s="17">
        <v>20081231</v>
      </c>
      <c r="U54" s="17">
        <v>20190731</v>
      </c>
      <c r="V54" s="17">
        <v>128</v>
      </c>
    </row>
    <row r="55" spans="1:22">
      <c r="A55" s="17" t="s">
        <v>1301</v>
      </c>
      <c r="B55" s="38">
        <v>8.0000000000000004E-4</v>
      </c>
      <c r="C55" s="38">
        <v>2.53E-2</v>
      </c>
      <c r="D55" s="38">
        <v>6.3E-3</v>
      </c>
      <c r="E55" s="38">
        <v>1.5699999999999999E-2</v>
      </c>
      <c r="F55" s="38">
        <v>2.9499999999999998E-2</v>
      </c>
      <c r="G55" s="38">
        <v>8.6999999999999994E-3</v>
      </c>
      <c r="H55" s="38">
        <v>-3.8300000000000001E-2</v>
      </c>
      <c r="I55" s="38">
        <v>2.4299999999999999E-2</v>
      </c>
      <c r="J55" s="38">
        <v>3.73E-2</v>
      </c>
      <c r="K55" s="38">
        <v>4.0500000000000001E-2</v>
      </c>
      <c r="L55" s="38">
        <v>3.15E-2</v>
      </c>
      <c r="M55" s="38">
        <v>1.6E-2</v>
      </c>
      <c r="N55" s="17">
        <v>0.92</v>
      </c>
      <c r="O55" s="17">
        <v>1.2999999999999999E-3</v>
      </c>
      <c r="P55" s="17">
        <v>0.73</v>
      </c>
      <c r="Q55" s="17">
        <v>0.43</v>
      </c>
      <c r="R55" s="17">
        <v>0.998</v>
      </c>
      <c r="S55" s="17">
        <v>0.71</v>
      </c>
      <c r="T55" s="17">
        <v>20081231</v>
      </c>
      <c r="U55" s="17">
        <v>20190731</v>
      </c>
      <c r="V55" s="17">
        <v>128</v>
      </c>
    </row>
    <row r="56" spans="1:22">
      <c r="A56" s="17" t="s">
        <v>1282</v>
      </c>
      <c r="B56" s="38">
        <v>1.2999999999999999E-2</v>
      </c>
      <c r="C56" s="38">
        <v>1.9800000000000002E-2</v>
      </c>
      <c r="D56" s="38">
        <v>2.1999999999999999E-2</v>
      </c>
      <c r="E56" s="38">
        <v>-8.6E-3</v>
      </c>
      <c r="F56" s="38">
        <v>3.3500000000000002E-2</v>
      </c>
      <c r="G56" s="38">
        <v>1.72E-2</v>
      </c>
      <c r="H56" s="38">
        <v>2.5000000000000001E-2</v>
      </c>
      <c r="I56" s="38">
        <v>7.7000000000000002E-3</v>
      </c>
      <c r="J56" s="38">
        <v>-2.0000000000000001E-4</v>
      </c>
      <c r="K56" s="38">
        <v>2.0199999999999999E-2</v>
      </c>
      <c r="L56" s="38">
        <v>1.11E-2</v>
      </c>
      <c r="M56" s="38">
        <v>1.4999999999999999E-2</v>
      </c>
      <c r="N56" s="17">
        <v>1.1100000000000001</v>
      </c>
      <c r="O56" s="34">
        <v>8.9999999999999998E-4</v>
      </c>
      <c r="P56" s="17">
        <v>0.65</v>
      </c>
      <c r="Q56" s="17">
        <v>0.28999999999999998</v>
      </c>
      <c r="R56" s="17">
        <v>0.877</v>
      </c>
      <c r="S56" s="17">
        <v>0.92</v>
      </c>
      <c r="T56" s="17">
        <v>20081231</v>
      </c>
      <c r="U56" s="17">
        <v>20190731</v>
      </c>
      <c r="V56" s="17">
        <v>128</v>
      </c>
    </row>
    <row r="57" spans="1:22">
      <c r="A57" s="17" t="s">
        <v>1327</v>
      </c>
      <c r="B57" s="38">
        <v>4.8999999999999998E-3</v>
      </c>
      <c r="C57" s="38">
        <v>-7.4000000000000003E-3</v>
      </c>
      <c r="D57" s="38">
        <v>1.6299999999999999E-2</v>
      </c>
      <c r="E57" s="38">
        <v>1.95E-2</v>
      </c>
      <c r="F57" s="38">
        <v>2.69E-2</v>
      </c>
      <c r="G57" s="38">
        <v>3.3999999999999998E-3</v>
      </c>
      <c r="H57" s="38">
        <v>1.0999999999999999E-2</v>
      </c>
      <c r="I57" s="38">
        <v>1.4200000000000001E-2</v>
      </c>
      <c r="J57" s="38">
        <v>1.6400000000000001E-2</v>
      </c>
      <c r="K57" s="38">
        <v>2.93E-2</v>
      </c>
      <c r="L57" s="38">
        <v>4.02E-2</v>
      </c>
      <c r="M57" s="38">
        <v>1.4999999999999999E-2</v>
      </c>
      <c r="N57" s="17">
        <v>1.18</v>
      </c>
      <c r="O57" s="17">
        <v>1E-3</v>
      </c>
      <c r="P57" s="17">
        <v>0.9</v>
      </c>
      <c r="Q57" s="17">
        <v>0.33</v>
      </c>
      <c r="R57" s="17">
        <v>0.98099999999999998</v>
      </c>
      <c r="S57" s="17">
        <v>0.69</v>
      </c>
      <c r="T57" s="17">
        <v>20081231</v>
      </c>
      <c r="U57" s="17">
        <v>20190731</v>
      </c>
      <c r="V57" s="17">
        <v>128</v>
      </c>
    </row>
    <row r="58" spans="1:22">
      <c r="A58" s="17" t="s">
        <v>1285</v>
      </c>
      <c r="B58" s="38">
        <v>-6.0000000000000001E-3</v>
      </c>
      <c r="C58" s="38">
        <v>2.9499999999999998E-2</v>
      </c>
      <c r="D58" s="38">
        <v>3.09E-2</v>
      </c>
      <c r="E58" s="38">
        <v>2.9700000000000001E-2</v>
      </c>
      <c r="F58" s="38">
        <v>4.0500000000000001E-2</v>
      </c>
      <c r="G58" s="38">
        <v>-3.6700000000000003E-2</v>
      </c>
      <c r="H58" s="38">
        <v>1.1599999999999999E-2</v>
      </c>
      <c r="I58" s="38">
        <v>-6.6E-3</v>
      </c>
      <c r="J58" s="38">
        <v>3.5099999999999999E-2</v>
      </c>
      <c r="K58" s="38">
        <v>-5.5999999999999999E-3</v>
      </c>
      <c r="L58" s="38">
        <v>3.9199999999999999E-2</v>
      </c>
      <c r="M58" s="38">
        <v>1.4E-2</v>
      </c>
      <c r="N58" s="17">
        <v>0.83</v>
      </c>
      <c r="O58" s="17">
        <v>1.2999999999999999E-3</v>
      </c>
      <c r="P58" s="17">
        <v>0.66</v>
      </c>
      <c r="Q58" s="17">
        <v>0.41</v>
      </c>
      <c r="R58" s="17">
        <v>0.98899999999999999</v>
      </c>
      <c r="S58" s="17">
        <v>0.9</v>
      </c>
      <c r="T58" s="17">
        <v>20081231</v>
      </c>
      <c r="U58" s="17">
        <v>20190731</v>
      </c>
      <c r="V58" s="17">
        <v>128</v>
      </c>
    </row>
    <row r="59" spans="1:22">
      <c r="A59" s="17" t="s">
        <v>1295</v>
      </c>
      <c r="B59" s="38">
        <v>1.2999999999999999E-3</v>
      </c>
      <c r="C59" s="38">
        <v>1.11E-2</v>
      </c>
      <c r="D59" s="38">
        <v>1.66E-2</v>
      </c>
      <c r="E59" s="38">
        <v>1.0999999999999999E-2</v>
      </c>
      <c r="F59" s="38">
        <v>4.1000000000000003E-3</v>
      </c>
      <c r="G59" s="38">
        <v>-1.1000000000000001E-3</v>
      </c>
      <c r="H59" s="38">
        <v>2.4299999999999999E-2</v>
      </c>
      <c r="I59" s="38">
        <v>-6.6E-3</v>
      </c>
      <c r="J59" s="38">
        <v>3.3399999999999999E-2</v>
      </c>
      <c r="K59" s="38">
        <v>4.3900000000000002E-2</v>
      </c>
      <c r="L59" s="38">
        <v>1.5100000000000001E-2</v>
      </c>
      <c r="M59" s="38">
        <v>1.4E-2</v>
      </c>
      <c r="N59" s="17">
        <v>1.1100000000000001</v>
      </c>
      <c r="O59" s="17">
        <v>1.1000000000000001E-3</v>
      </c>
      <c r="P59" s="17">
        <v>1</v>
      </c>
      <c r="Q59" s="17">
        <v>0.34</v>
      </c>
      <c r="R59" s="17">
        <v>0.999</v>
      </c>
      <c r="S59" s="17">
        <v>0.6</v>
      </c>
      <c r="T59" s="17">
        <v>20081231</v>
      </c>
      <c r="U59" s="17">
        <v>20190731</v>
      </c>
      <c r="V59" s="17">
        <v>128</v>
      </c>
    </row>
    <row r="60" spans="1:22">
      <c r="A60" s="17" t="s">
        <v>1300</v>
      </c>
      <c r="B60" s="38">
        <v>-1.23E-2</v>
      </c>
      <c r="C60" s="38">
        <v>2.5000000000000001E-2</v>
      </c>
      <c r="D60" s="38">
        <v>2.18E-2</v>
      </c>
      <c r="E60" s="38">
        <v>2.3599999999999999E-2</v>
      </c>
      <c r="F60" s="38">
        <v>1.03E-2</v>
      </c>
      <c r="G60" s="38">
        <v>9.7000000000000003E-3</v>
      </c>
      <c r="H60" s="38">
        <v>4.4000000000000003E-3</v>
      </c>
      <c r="I60" s="38">
        <v>6.4999999999999997E-3</v>
      </c>
      <c r="J60" s="38">
        <v>2.93E-2</v>
      </c>
      <c r="K60" s="38">
        <v>6.4999999999999997E-3</v>
      </c>
      <c r="L60" s="38">
        <v>3.5700000000000003E-2</v>
      </c>
      <c r="M60" s="38">
        <v>1.4E-2</v>
      </c>
      <c r="N60" s="17">
        <v>1.1399999999999999</v>
      </c>
      <c r="O60" s="17">
        <v>1.6999999999999999E-3</v>
      </c>
      <c r="P60" s="17">
        <v>1.37</v>
      </c>
      <c r="Q60" s="17">
        <v>0.52</v>
      </c>
      <c r="R60" s="17">
        <v>0.97899999999999998</v>
      </c>
      <c r="S60" s="17">
        <v>0.77</v>
      </c>
      <c r="T60" s="17">
        <v>20081231</v>
      </c>
      <c r="U60" s="17">
        <v>20190731</v>
      </c>
      <c r="V60" s="17">
        <v>128</v>
      </c>
    </row>
    <row r="61" spans="1:22">
      <c r="A61" s="17" t="s">
        <v>1312</v>
      </c>
      <c r="B61" s="38">
        <v>3.5999999999999999E-3</v>
      </c>
      <c r="C61" s="38">
        <v>5.21E-2</v>
      </c>
      <c r="D61" s="38">
        <v>1.06E-2</v>
      </c>
      <c r="E61" s="38">
        <v>2.3400000000000001E-2</v>
      </c>
      <c r="F61" s="38">
        <v>9.4999999999999998E-3</v>
      </c>
      <c r="G61" s="38">
        <v>2.6700000000000002E-2</v>
      </c>
      <c r="H61" s="38">
        <v>5.0599999999999999E-2</v>
      </c>
      <c r="I61" s="38">
        <v>3.3300000000000003E-2</v>
      </c>
      <c r="J61" s="38">
        <v>-7.3700000000000002E-2</v>
      </c>
      <c r="K61" s="38">
        <v>4.5999999999999999E-3</v>
      </c>
      <c r="L61" s="38">
        <v>-1.14E-2</v>
      </c>
      <c r="M61" s="38">
        <v>1.2E-2</v>
      </c>
      <c r="N61" s="17">
        <v>0.4</v>
      </c>
      <c r="O61" s="17">
        <v>1.1000000000000001E-3</v>
      </c>
      <c r="P61" s="17">
        <v>0.64</v>
      </c>
      <c r="Q61" s="17">
        <v>0.25</v>
      </c>
      <c r="R61" s="17">
        <v>0.95499999999999996</v>
      </c>
      <c r="S61" s="17">
        <v>0.82</v>
      </c>
      <c r="T61" s="17">
        <v>20081231</v>
      </c>
      <c r="U61" s="17">
        <v>20190731</v>
      </c>
      <c r="V61" s="17">
        <v>128</v>
      </c>
    </row>
    <row r="62" spans="1:22">
      <c r="A62" s="17" t="s">
        <v>1323</v>
      </c>
      <c r="B62" s="38">
        <v>2.1000000000000001E-2</v>
      </c>
      <c r="C62" s="38">
        <v>7.1999999999999998E-3</v>
      </c>
      <c r="D62" s="38">
        <v>8.2000000000000007E-3</v>
      </c>
      <c r="E62" s="38">
        <v>1.34E-2</v>
      </c>
      <c r="F62" s="38">
        <v>1.2999999999999999E-2</v>
      </c>
      <c r="G62" s="38">
        <v>4.0000000000000001E-3</v>
      </c>
      <c r="H62" s="38">
        <v>3.4000000000000002E-2</v>
      </c>
      <c r="I62" s="38">
        <v>0.02</v>
      </c>
      <c r="J62" s="38">
        <v>6.1999999999999998E-3</v>
      </c>
      <c r="K62" s="38">
        <v>8.0000000000000002E-3</v>
      </c>
      <c r="L62" s="38">
        <v>-1.38E-2</v>
      </c>
      <c r="M62" s="38">
        <v>1.2E-2</v>
      </c>
      <c r="N62" s="17">
        <v>0.69</v>
      </c>
      <c r="O62" s="34">
        <v>4.0000000000000002E-4</v>
      </c>
      <c r="P62" s="17">
        <v>0.27</v>
      </c>
      <c r="Q62" s="17">
        <v>0.18</v>
      </c>
      <c r="R62" s="17">
        <v>0.999</v>
      </c>
      <c r="S62" s="17">
        <v>0.69</v>
      </c>
      <c r="T62" s="17">
        <v>20081231</v>
      </c>
      <c r="U62" s="17">
        <v>20190731</v>
      </c>
      <c r="V62" s="17">
        <v>128</v>
      </c>
    </row>
    <row r="63" spans="1:22">
      <c r="A63" s="17" t="s">
        <v>1326</v>
      </c>
      <c r="B63" s="38">
        <v>1.0999999999999999E-2</v>
      </c>
      <c r="C63" s="38">
        <v>-1.0699999999999999E-2</v>
      </c>
      <c r="D63" s="38">
        <v>4.4999999999999997E-3</v>
      </c>
      <c r="E63" s="38">
        <v>3.2800000000000003E-2</v>
      </c>
      <c r="F63" s="38">
        <v>5.9999999999999995E-4</v>
      </c>
      <c r="G63" s="38">
        <v>6.6E-3</v>
      </c>
      <c r="H63" s="38">
        <v>1.5800000000000002E-2</v>
      </c>
      <c r="I63" s="38">
        <v>1.15E-2</v>
      </c>
      <c r="J63" s="38">
        <v>2.0199999999999999E-2</v>
      </c>
      <c r="K63" s="38">
        <v>1.6899999999999998E-2</v>
      </c>
      <c r="L63" s="38">
        <v>1.7899999999999999E-2</v>
      </c>
      <c r="M63" s="38">
        <v>1.0999999999999999E-2</v>
      </c>
      <c r="N63" s="17">
        <v>0.88</v>
      </c>
      <c r="O63" s="34">
        <v>5.9999999999999995E-4</v>
      </c>
      <c r="P63" s="17">
        <v>0.5</v>
      </c>
      <c r="Q63" s="17">
        <v>0.19</v>
      </c>
      <c r="R63" s="17">
        <v>0.999</v>
      </c>
      <c r="S63" s="17">
        <v>0.72</v>
      </c>
      <c r="T63" s="17">
        <v>20081231</v>
      </c>
      <c r="U63" s="17">
        <v>20190731</v>
      </c>
      <c r="V63" s="17">
        <v>128</v>
      </c>
    </row>
    <row r="64" spans="1:22">
      <c r="A64" s="17" t="s">
        <v>588</v>
      </c>
      <c r="B64" s="38">
        <v>8.0999999999999996E-3</v>
      </c>
      <c r="C64" s="38">
        <v>4.3799999999999999E-2</v>
      </c>
      <c r="D64" s="38">
        <v>6.4000000000000003E-3</v>
      </c>
      <c r="E64" s="38">
        <v>1.8200000000000001E-2</v>
      </c>
      <c r="F64" s="38">
        <v>1.83E-2</v>
      </c>
      <c r="G64" s="38">
        <v>-1.7399999999999999E-2</v>
      </c>
      <c r="H64" s="38">
        <v>1.2E-2</v>
      </c>
      <c r="I64" s="38">
        <v>-1.5699999999999999E-2</v>
      </c>
      <c r="J64" s="38">
        <v>3.6200000000000003E-2</v>
      </c>
      <c r="K64" s="38">
        <v>-1.8599999999999998E-2</v>
      </c>
      <c r="L64" s="38">
        <v>3.5000000000000003E-2</v>
      </c>
      <c r="M64" s="38">
        <v>1.0999999999999999E-2</v>
      </c>
      <c r="N64" s="17">
        <v>0.69</v>
      </c>
      <c r="O64" s="17">
        <v>1.5E-3</v>
      </c>
      <c r="P64" s="17">
        <v>0.97</v>
      </c>
      <c r="Q64" s="17">
        <v>0.43</v>
      </c>
      <c r="R64" s="17">
        <v>0.999</v>
      </c>
      <c r="S64" s="17">
        <v>0.87</v>
      </c>
      <c r="T64" s="17">
        <v>20081231</v>
      </c>
      <c r="U64" s="17">
        <v>20190731</v>
      </c>
      <c r="V64" s="17">
        <v>128</v>
      </c>
    </row>
    <row r="65" spans="1:22">
      <c r="A65" s="17" t="s">
        <v>1330</v>
      </c>
      <c r="B65" s="38">
        <v>8.9999999999999993E-3</v>
      </c>
      <c r="C65" s="38">
        <v>4.4699999999999997E-2</v>
      </c>
      <c r="D65" s="38">
        <v>6.4000000000000003E-3</v>
      </c>
      <c r="E65" s="38">
        <v>2.0799999999999999E-2</v>
      </c>
      <c r="F65" s="38">
        <v>2.0400000000000001E-2</v>
      </c>
      <c r="G65" s="38">
        <v>-1.7399999999999999E-2</v>
      </c>
      <c r="H65" s="38">
        <v>1.4500000000000001E-2</v>
      </c>
      <c r="I65" s="38">
        <v>-1.67E-2</v>
      </c>
      <c r="J65" s="38">
        <v>3.49E-2</v>
      </c>
      <c r="K65" s="38">
        <v>-1.77E-2</v>
      </c>
      <c r="L65" s="38">
        <v>3.5400000000000001E-2</v>
      </c>
      <c r="M65" s="38">
        <v>1.0999999999999999E-2</v>
      </c>
      <c r="N65" s="17">
        <v>0.73</v>
      </c>
      <c r="O65" s="17">
        <v>1.6000000000000001E-3</v>
      </c>
      <c r="P65" s="17">
        <v>1.02</v>
      </c>
      <c r="Q65" s="17">
        <v>0.45</v>
      </c>
      <c r="R65" s="17">
        <v>0.999</v>
      </c>
      <c r="S65" s="17">
        <v>0.87</v>
      </c>
      <c r="T65" s="17">
        <v>20081231</v>
      </c>
      <c r="U65" s="17">
        <v>20190731</v>
      </c>
      <c r="V65" s="17">
        <v>128</v>
      </c>
    </row>
    <row r="66" spans="1:22">
      <c r="A66" s="17" t="s">
        <v>734</v>
      </c>
      <c r="B66" s="38">
        <v>-6.4999999999999997E-3</v>
      </c>
      <c r="C66" s="38">
        <v>5.6599999999999998E-2</v>
      </c>
      <c r="D66" s="38">
        <v>-5.0000000000000001E-4</v>
      </c>
      <c r="E66" s="38">
        <v>7.4999999999999997E-3</v>
      </c>
      <c r="F66" s="38">
        <v>2.52E-2</v>
      </c>
      <c r="G66" s="38">
        <v>1.8E-3</v>
      </c>
      <c r="H66" s="38">
        <v>4.6300000000000001E-2</v>
      </c>
      <c r="I66" s="38">
        <v>2.0199999999999999E-2</v>
      </c>
      <c r="J66" s="38">
        <v>-4.9500000000000002E-2</v>
      </c>
      <c r="K66" s="38">
        <v>5.3E-3</v>
      </c>
      <c r="L66" s="38">
        <v>-8.0000000000000002E-3</v>
      </c>
      <c r="M66" s="38">
        <v>8.9999999999999993E-3</v>
      </c>
      <c r="N66" s="17">
        <v>0.32</v>
      </c>
      <c r="O66" s="34">
        <v>8.9999999999999998E-4</v>
      </c>
      <c r="P66" s="17">
        <v>0.51</v>
      </c>
      <c r="Q66" s="17">
        <v>0.22</v>
      </c>
      <c r="R66" s="17">
        <v>0.95699999999999996</v>
      </c>
      <c r="S66" s="17">
        <v>0.94</v>
      </c>
      <c r="T66" s="17">
        <v>20081231</v>
      </c>
      <c r="U66" s="17">
        <v>20190731</v>
      </c>
      <c r="V66" s="17">
        <v>128</v>
      </c>
    </row>
    <row r="67" spans="1:22">
      <c r="A67" s="17" t="s">
        <v>1331</v>
      </c>
      <c r="B67" s="38">
        <v>-6.1000000000000004E-3</v>
      </c>
      <c r="C67" s="38">
        <v>4.6100000000000002E-2</v>
      </c>
      <c r="D67" s="38">
        <v>4.0000000000000001E-3</v>
      </c>
      <c r="E67" s="38">
        <v>3.2500000000000001E-2</v>
      </c>
      <c r="F67" s="38">
        <v>2.1899999999999999E-2</v>
      </c>
      <c r="G67" s="38">
        <v>-4.4400000000000002E-2</v>
      </c>
      <c r="H67" s="38">
        <v>2.52E-2</v>
      </c>
      <c r="I67" s="38">
        <v>-2.23E-2</v>
      </c>
      <c r="J67" s="38">
        <v>4.24E-2</v>
      </c>
      <c r="K67" s="38">
        <v>-2.1299999999999999E-2</v>
      </c>
      <c r="L67" s="38">
        <v>2.9000000000000001E-2</v>
      </c>
      <c r="M67" s="38">
        <v>8.9999999999999993E-3</v>
      </c>
      <c r="N67" s="17">
        <v>0.45</v>
      </c>
      <c r="O67" s="17">
        <v>1.2999999999999999E-3</v>
      </c>
      <c r="P67" s="17">
        <v>0.51</v>
      </c>
      <c r="Q67" s="17">
        <v>0.4</v>
      </c>
      <c r="R67" s="17">
        <v>0.999</v>
      </c>
      <c r="S67" s="17">
        <v>0.92</v>
      </c>
      <c r="T67" s="17">
        <v>20081231</v>
      </c>
      <c r="U67" s="17">
        <v>20190731</v>
      </c>
      <c r="V67" s="17">
        <v>128</v>
      </c>
    </row>
    <row r="68" spans="1:22">
      <c r="A68" s="17" t="s">
        <v>1332</v>
      </c>
      <c r="B68" s="38">
        <v>-6.1000000000000004E-3</v>
      </c>
      <c r="C68" s="38">
        <v>4.5900000000000003E-2</v>
      </c>
      <c r="D68" s="38">
        <v>3.8999999999999998E-3</v>
      </c>
      <c r="E68" s="38">
        <v>3.2599999999999997E-2</v>
      </c>
      <c r="F68" s="38">
        <v>2.2599999999999999E-2</v>
      </c>
      <c r="G68" s="38">
        <v>-4.4600000000000001E-2</v>
      </c>
      <c r="H68" s="38">
        <v>2.5100000000000001E-2</v>
      </c>
      <c r="I68" s="38">
        <v>-2.1999999999999999E-2</v>
      </c>
      <c r="J68" s="38">
        <v>4.24E-2</v>
      </c>
      <c r="K68" s="38">
        <v>-2.1299999999999999E-2</v>
      </c>
      <c r="L68" s="38">
        <v>2.9100000000000001E-2</v>
      </c>
      <c r="M68" s="38">
        <v>8.9999999999999993E-3</v>
      </c>
      <c r="N68" s="17">
        <v>0.46</v>
      </c>
      <c r="O68" s="17">
        <v>1.2999999999999999E-3</v>
      </c>
      <c r="P68" s="17">
        <v>0.52</v>
      </c>
      <c r="Q68" s="17">
        <v>0.4</v>
      </c>
      <c r="R68" s="17">
        <v>0.999</v>
      </c>
      <c r="S68" s="17">
        <v>0.92</v>
      </c>
      <c r="T68" s="17">
        <v>20081231</v>
      </c>
      <c r="U68" s="17">
        <v>20190731</v>
      </c>
      <c r="V68" s="17">
        <v>128</v>
      </c>
    </row>
    <row r="69" spans="1:22">
      <c r="A69" s="17" t="s">
        <v>1303</v>
      </c>
      <c r="B69" s="38">
        <v>3.3999999999999998E-3</v>
      </c>
      <c r="C69" s="38">
        <v>4.6100000000000002E-2</v>
      </c>
      <c r="D69" s="38">
        <v>2.5000000000000001E-3</v>
      </c>
      <c r="E69" s="38">
        <v>2.8299999999999999E-2</v>
      </c>
      <c r="F69" s="38">
        <v>-1.29E-2</v>
      </c>
      <c r="G69" s="38">
        <v>-1.3599999999999999E-2</v>
      </c>
      <c r="H69" s="38">
        <v>-2.1499999999999998E-2</v>
      </c>
      <c r="I69" s="38">
        <v>-1.5900000000000001E-2</v>
      </c>
      <c r="J69" s="38">
        <v>3.2399999999999998E-2</v>
      </c>
      <c r="K69" s="38">
        <v>-1.6000000000000001E-3</v>
      </c>
      <c r="L69" s="38">
        <v>2.9000000000000001E-2</v>
      </c>
      <c r="M69" s="38">
        <v>6.0000000000000001E-3</v>
      </c>
      <c r="N69" s="17">
        <v>0.36</v>
      </c>
      <c r="O69" s="34">
        <v>8.9999999999999998E-4</v>
      </c>
      <c r="P69" s="17">
        <v>0.56000000000000005</v>
      </c>
      <c r="Q69" s="17">
        <v>0.28999999999999998</v>
      </c>
      <c r="R69" s="17">
        <v>0.878</v>
      </c>
      <c r="S69" s="17">
        <v>0.87</v>
      </c>
      <c r="T69" s="17">
        <v>20081231</v>
      </c>
      <c r="U69" s="17">
        <v>20190731</v>
      </c>
      <c r="V69" s="17">
        <v>128</v>
      </c>
    </row>
    <row r="70" spans="1:22">
      <c r="A70" s="17" t="s">
        <v>1304</v>
      </c>
      <c r="B70" s="38">
        <v>1.1599999999999999E-2</v>
      </c>
      <c r="C70" s="38">
        <v>4.0500000000000001E-2</v>
      </c>
      <c r="D70" s="38">
        <v>7.4999999999999997E-3</v>
      </c>
      <c r="E70" s="38">
        <v>2.81E-2</v>
      </c>
      <c r="F70" s="38">
        <v>-1.8E-3</v>
      </c>
      <c r="G70" s="38">
        <v>-2.1999999999999999E-2</v>
      </c>
      <c r="H70" s="38">
        <v>-1.89E-2</v>
      </c>
      <c r="I70" s="38">
        <v>-3.2500000000000001E-2</v>
      </c>
      <c r="J70" s="38">
        <v>3.0300000000000001E-2</v>
      </c>
      <c r="K70" s="38">
        <v>-3.5999999999999999E-3</v>
      </c>
      <c r="L70" s="38">
        <v>4.0300000000000002E-2</v>
      </c>
      <c r="M70" s="38">
        <v>6.0000000000000001E-3</v>
      </c>
      <c r="N70" s="17">
        <v>0.37</v>
      </c>
      <c r="O70" s="17">
        <v>1E-3</v>
      </c>
      <c r="P70" s="17">
        <v>0.64</v>
      </c>
      <c r="Q70" s="17">
        <v>0.28999999999999998</v>
      </c>
      <c r="R70" s="17">
        <v>0.86699999999999999</v>
      </c>
      <c r="S70" s="17">
        <v>0.91</v>
      </c>
      <c r="T70" s="17">
        <v>20081231</v>
      </c>
      <c r="U70" s="17">
        <v>20190731</v>
      </c>
      <c r="V70" s="17">
        <v>128</v>
      </c>
    </row>
    <row r="71" spans="1:22">
      <c r="A71" s="17" t="s">
        <v>732</v>
      </c>
      <c r="B71" s="38">
        <v>6.7000000000000002E-3</v>
      </c>
      <c r="C71" s="38">
        <v>3.2000000000000001E-2</v>
      </c>
      <c r="D71" s="38">
        <v>2.76E-2</v>
      </c>
      <c r="E71" s="38">
        <v>2.7799999999999998E-2</v>
      </c>
      <c r="F71" s="38">
        <v>-7.0000000000000001E-3</v>
      </c>
      <c r="G71" s="38">
        <v>-3.6600000000000001E-2</v>
      </c>
      <c r="H71" s="38">
        <v>-3.2000000000000002E-3</v>
      </c>
      <c r="I71" s="38">
        <v>-4.9399999999999999E-2</v>
      </c>
      <c r="J71" s="38">
        <v>2.6700000000000002E-2</v>
      </c>
      <c r="K71" s="38">
        <v>-9.7000000000000003E-3</v>
      </c>
      <c r="L71" s="38">
        <v>6.7100000000000007E-2</v>
      </c>
      <c r="M71" s="38">
        <v>5.0000000000000001E-3</v>
      </c>
      <c r="N71" s="17">
        <v>0.27</v>
      </c>
      <c r="O71" s="17">
        <v>1.1000000000000001E-3</v>
      </c>
      <c r="P71" s="17">
        <v>0.64</v>
      </c>
      <c r="Q71" s="17">
        <v>0.27</v>
      </c>
      <c r="R71" s="17">
        <v>0.751</v>
      </c>
      <c r="S71" s="17">
        <v>0.88</v>
      </c>
      <c r="T71" s="17">
        <v>20081231</v>
      </c>
      <c r="U71" s="17">
        <v>20190731</v>
      </c>
      <c r="V71" s="17">
        <v>122</v>
      </c>
    </row>
    <row r="72" spans="1:22">
      <c r="A72" s="17" t="s">
        <v>733</v>
      </c>
      <c r="B72" s="38">
        <v>-4.2000000000000003E-2</v>
      </c>
      <c r="C72" s="38">
        <v>3.44E-2</v>
      </c>
      <c r="D72" s="38">
        <v>1.3299999999999999E-2</v>
      </c>
      <c r="E72" s="38">
        <v>2.1499999999999998E-2</v>
      </c>
      <c r="F72" s="38">
        <v>-1.6000000000000001E-3</v>
      </c>
      <c r="G72" s="38">
        <v>6.1999999999999998E-3</v>
      </c>
      <c r="H72" s="38">
        <v>3.9399999999999998E-2</v>
      </c>
      <c r="I72" s="38">
        <v>3.4799999999999998E-2</v>
      </c>
      <c r="J72" s="38">
        <v>-4.9599999999999998E-2</v>
      </c>
      <c r="K72" s="38">
        <v>-5.0000000000000001E-4</v>
      </c>
      <c r="L72" s="38">
        <v>-3.8E-3</v>
      </c>
      <c r="M72" s="38">
        <v>5.0000000000000001E-3</v>
      </c>
      <c r="N72" s="17">
        <v>0.17</v>
      </c>
      <c r="O72" s="34">
        <v>8.9999999999999998E-4</v>
      </c>
      <c r="P72" s="17">
        <v>0.54</v>
      </c>
      <c r="Q72" s="17">
        <v>0.22</v>
      </c>
      <c r="R72" s="17">
        <v>0.96099999999999997</v>
      </c>
      <c r="S72" s="17">
        <v>0.89</v>
      </c>
      <c r="T72" s="17">
        <v>20081231</v>
      </c>
      <c r="U72" s="17">
        <v>20190731</v>
      </c>
      <c r="V72" s="17">
        <v>128</v>
      </c>
    </row>
    <row r="73" spans="1:22">
      <c r="A73" s="17" t="s">
        <v>1283</v>
      </c>
      <c r="B73" s="38">
        <v>2.3E-3</v>
      </c>
      <c r="C73" s="38">
        <v>4.7600000000000003E-2</v>
      </c>
      <c r="D73" s="38">
        <v>1.8200000000000001E-2</v>
      </c>
      <c r="E73" s="38">
        <v>2.4E-2</v>
      </c>
      <c r="F73" s="38">
        <v>-1.5800000000000002E-2</v>
      </c>
      <c r="G73" s="38">
        <v>-2.4899999999999999E-2</v>
      </c>
      <c r="H73" s="38">
        <v>-3.0800000000000001E-2</v>
      </c>
      <c r="I73" s="38">
        <v>-4.5199999999999997E-2</v>
      </c>
      <c r="J73" s="38">
        <v>3.3700000000000001E-2</v>
      </c>
      <c r="K73" s="38">
        <v>-1.2200000000000001E-2</v>
      </c>
      <c r="L73" s="38">
        <v>3.9600000000000003E-2</v>
      </c>
      <c r="M73" s="38">
        <v>2E-3</v>
      </c>
      <c r="N73" s="17">
        <v>0.12</v>
      </c>
      <c r="O73" s="34">
        <v>6.9999999999999999E-4</v>
      </c>
      <c r="P73" s="17">
        <v>0.37</v>
      </c>
      <c r="Q73" s="17">
        <v>0.23</v>
      </c>
      <c r="R73" s="17">
        <v>0.875</v>
      </c>
      <c r="S73" s="17">
        <v>0.93</v>
      </c>
      <c r="T73" s="17">
        <v>20081231</v>
      </c>
      <c r="U73" s="17">
        <v>20190731</v>
      </c>
      <c r="V73" s="17">
        <v>128</v>
      </c>
    </row>
    <row r="74" spans="1:22">
      <c r="A74" s="17" t="s">
        <v>731</v>
      </c>
      <c r="B74" s="38">
        <v>-1.0999999999999999E-2</v>
      </c>
      <c r="C74" s="38">
        <v>1.1299999999999999E-2</v>
      </c>
      <c r="D74" s="38">
        <v>1.14E-2</v>
      </c>
      <c r="E74" s="38">
        <v>1.43E-2</v>
      </c>
      <c r="F74" s="38">
        <v>4.5999999999999999E-3</v>
      </c>
      <c r="G74" s="38">
        <v>-3.3500000000000002E-2</v>
      </c>
      <c r="H74" s="38">
        <v>3.3599999999999998E-2</v>
      </c>
      <c r="I74" s="38">
        <v>1.5E-3</v>
      </c>
      <c r="J74" s="38">
        <v>1E-3</v>
      </c>
      <c r="K74" s="38">
        <v>-1.12E-2</v>
      </c>
      <c r="L74" s="38">
        <v>-7.3000000000000001E-3</v>
      </c>
      <c r="M74" s="38">
        <v>2E-3</v>
      </c>
      <c r="N74" s="17">
        <v>0.1</v>
      </c>
      <c r="O74" s="34">
        <v>1E-4</v>
      </c>
      <c r="P74" s="17">
        <v>0.05</v>
      </c>
      <c r="Q74" s="17">
        <v>0.01</v>
      </c>
      <c r="R74" s="17">
        <v>0.998</v>
      </c>
      <c r="S74" s="17">
        <v>0.96</v>
      </c>
      <c r="T74" s="17">
        <v>20081231</v>
      </c>
      <c r="U74" s="17">
        <v>20190731</v>
      </c>
      <c r="V74" s="17">
        <v>128</v>
      </c>
    </row>
    <row r="75" spans="1:22">
      <c r="A75" s="17" t="s">
        <v>1333</v>
      </c>
      <c r="B75" s="38">
        <v>1.03E-2</v>
      </c>
      <c r="C75" s="38">
        <v>2.52E-2</v>
      </c>
      <c r="D75" s="38">
        <v>-1.0800000000000001E-2</v>
      </c>
      <c r="E75" s="38">
        <v>2.3400000000000001E-2</v>
      </c>
      <c r="F75" s="38">
        <v>-2.0000000000000001E-4</v>
      </c>
      <c r="G75" s="38">
        <v>-0.04</v>
      </c>
      <c r="H75" s="38">
        <v>3.4099999999999998E-2</v>
      </c>
      <c r="I75" s="38">
        <v>-3.5000000000000001E-3</v>
      </c>
      <c r="J75" s="38">
        <v>8.0999999999999996E-3</v>
      </c>
      <c r="K75" s="38">
        <v>-2.52E-2</v>
      </c>
      <c r="L75" s="38">
        <v>6.4999999999999997E-3</v>
      </c>
      <c r="M75" s="38">
        <v>2E-3</v>
      </c>
      <c r="N75" s="17">
        <v>0.12</v>
      </c>
      <c r="O75" s="34">
        <v>2.9999999999999997E-4</v>
      </c>
      <c r="P75" s="17">
        <v>0.13</v>
      </c>
      <c r="Q75" s="17">
        <v>7.0000000000000007E-2</v>
      </c>
      <c r="R75" s="17">
        <v>0.999</v>
      </c>
      <c r="S75" s="17">
        <v>0.95</v>
      </c>
      <c r="T75" s="17">
        <v>20081231</v>
      </c>
      <c r="U75" s="17">
        <v>20190731</v>
      </c>
      <c r="V75" s="17">
        <v>128</v>
      </c>
    </row>
    <row r="76" spans="1:22">
      <c r="A76" s="17" t="s">
        <v>736</v>
      </c>
      <c r="B76" s="38">
        <v>-9.4000000000000004E-3</v>
      </c>
      <c r="C76" s="38">
        <v>1.9E-2</v>
      </c>
      <c r="D76" s="38">
        <v>6.9999999999999999E-4</v>
      </c>
      <c r="E76" s="38">
        <v>6.4000000000000003E-3</v>
      </c>
      <c r="F76" s="38">
        <v>-5.5999999999999999E-3</v>
      </c>
      <c r="G76" s="38">
        <v>-1.3100000000000001E-2</v>
      </c>
      <c r="H76" s="38">
        <v>1.46E-2</v>
      </c>
      <c r="I76" s="38">
        <v>1.7999999999999999E-2</v>
      </c>
      <c r="J76" s="38">
        <v>2.8999999999999998E-3</v>
      </c>
      <c r="K76" s="38">
        <v>-2.35E-2</v>
      </c>
      <c r="L76" s="38">
        <v>8.6999999999999994E-3</v>
      </c>
      <c r="M76" s="38">
        <v>2E-3</v>
      </c>
      <c r="N76" s="17">
        <v>0.1</v>
      </c>
      <c r="O76" s="34">
        <v>2.0000000000000001E-4</v>
      </c>
      <c r="P76" s="17">
        <v>0.13</v>
      </c>
      <c r="Q76" s="17">
        <v>0.02</v>
      </c>
      <c r="R76" s="17">
        <v>0.999</v>
      </c>
      <c r="S76" s="17">
        <v>0.93</v>
      </c>
      <c r="T76" s="17">
        <v>20081231</v>
      </c>
      <c r="U76" s="17">
        <v>20190731</v>
      </c>
      <c r="V76" s="17">
        <v>128</v>
      </c>
    </row>
    <row r="77" spans="1:22">
      <c r="A77" s="17" t="s">
        <v>737</v>
      </c>
      <c r="B77" s="38">
        <v>-4.0000000000000002E-4</v>
      </c>
      <c r="C77" s="38">
        <v>2.4500000000000001E-2</v>
      </c>
      <c r="D77" s="38">
        <v>1.6000000000000001E-3</v>
      </c>
      <c r="E77" s="38">
        <v>6.7999999999999996E-3</v>
      </c>
      <c r="F77" s="38">
        <v>-1.7399999999999999E-2</v>
      </c>
      <c r="G77" s="38">
        <v>-1.72E-2</v>
      </c>
      <c r="H77" s="38">
        <v>1.7999999999999999E-2</v>
      </c>
      <c r="I77" s="38">
        <v>2.01E-2</v>
      </c>
      <c r="J77" s="38">
        <v>5.7000000000000002E-3</v>
      </c>
      <c r="K77" s="38">
        <v>-2.5999999999999999E-3</v>
      </c>
      <c r="L77" s="38">
        <v>-1.89E-2</v>
      </c>
      <c r="M77" s="38">
        <v>2E-3</v>
      </c>
      <c r="N77" s="17">
        <v>0.18</v>
      </c>
      <c r="O77" s="34">
        <v>4.0000000000000002E-4</v>
      </c>
      <c r="P77" s="17">
        <v>0.3</v>
      </c>
      <c r="Q77" s="17">
        <v>0.09</v>
      </c>
      <c r="R77" s="17">
        <v>0.998</v>
      </c>
      <c r="S77" s="17">
        <v>0.97</v>
      </c>
      <c r="T77" s="17">
        <v>20081231</v>
      </c>
      <c r="U77" s="17">
        <v>20190731</v>
      </c>
      <c r="V77" s="17">
        <v>128</v>
      </c>
    </row>
    <row r="78" spans="1:22">
      <c r="A78" s="17" t="s">
        <v>1297</v>
      </c>
      <c r="B78" s="38">
        <v>-9.1999999999999998E-3</v>
      </c>
      <c r="C78" s="38">
        <v>7.9000000000000008E-3</v>
      </c>
      <c r="D78" s="38">
        <v>-5.9999999999999995E-4</v>
      </c>
      <c r="E78" s="38">
        <v>8.6E-3</v>
      </c>
      <c r="F78" s="38">
        <v>8.6999999999999994E-3</v>
      </c>
      <c r="G78" s="38">
        <v>-3.32E-2</v>
      </c>
      <c r="H78" s="38">
        <v>2.7300000000000001E-2</v>
      </c>
      <c r="I78" s="38">
        <v>-1.2800000000000001E-2</v>
      </c>
      <c r="J78" s="38">
        <v>7.1000000000000004E-3</v>
      </c>
      <c r="K78" s="38">
        <v>2E-3</v>
      </c>
      <c r="L78" s="38">
        <v>5.3E-3</v>
      </c>
      <c r="M78" s="38">
        <v>1E-3</v>
      </c>
      <c r="N78" s="17">
        <v>0.06</v>
      </c>
      <c r="O78" s="34">
        <v>-1E-4</v>
      </c>
      <c r="P78" s="17">
        <v>-0.09</v>
      </c>
      <c r="Q78" s="17">
        <v>-7.0000000000000007E-2</v>
      </c>
      <c r="R78" s="17">
        <v>0.999</v>
      </c>
      <c r="S78" s="17">
        <v>0.93</v>
      </c>
      <c r="T78" s="17">
        <v>20081231</v>
      </c>
      <c r="U78" s="17">
        <v>20190731</v>
      </c>
      <c r="V78" s="17">
        <v>128</v>
      </c>
    </row>
    <row r="79" spans="1:22">
      <c r="A79" s="17" t="s">
        <v>1296</v>
      </c>
      <c r="B79" s="38">
        <v>-1.5100000000000001E-2</v>
      </c>
      <c r="C79" s="38">
        <v>-1.6799999999999999E-2</v>
      </c>
      <c r="D79" s="38">
        <v>8.2000000000000007E-3</v>
      </c>
      <c r="E79" s="38">
        <v>-3.5999999999999999E-3</v>
      </c>
      <c r="F79" s="38">
        <v>-8.3999999999999995E-3</v>
      </c>
      <c r="G79" s="38">
        <v>-8.6999999999999994E-3</v>
      </c>
      <c r="H79" s="38">
        <v>-3.1E-2</v>
      </c>
      <c r="I79" s="38">
        <v>-2.6599999999999999E-2</v>
      </c>
      <c r="J79" s="38">
        <v>-9.7999999999999997E-3</v>
      </c>
      <c r="K79" s="38">
        <v>8.5000000000000006E-3</v>
      </c>
      <c r="L79" s="38">
        <v>5.1299999999999998E-2</v>
      </c>
      <c r="M79" s="38">
        <v>-6.0000000000000001E-3</v>
      </c>
      <c r="N79" s="17">
        <v>-0.4</v>
      </c>
      <c r="O79" s="34">
        <v>-5.9999999999999995E-4</v>
      </c>
      <c r="P79" s="17">
        <v>-0.37</v>
      </c>
      <c r="Q79" s="17">
        <v>-0.1</v>
      </c>
      <c r="R79" s="17">
        <v>0.89200000000000002</v>
      </c>
      <c r="S79" s="17">
        <v>0.84</v>
      </c>
      <c r="T79" s="17">
        <v>20081231</v>
      </c>
      <c r="U79" s="17">
        <v>20190731</v>
      </c>
      <c r="V79" s="17">
        <v>128</v>
      </c>
    </row>
  </sheetData>
  <sortState ref="A2:V79">
    <sortCondition descending="1" ref="M2"/>
  </sortState>
  <phoneticPr fontId="5" type="noConversion"/>
  <conditionalFormatting sqref="M1:M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:O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workbookViewId="0">
      <selection activeCell="J18" sqref="J18"/>
    </sheetView>
  </sheetViews>
  <sheetFormatPr defaultRowHeight="14.25"/>
  <cols>
    <col min="1" max="1" width="17.25" bestFit="1" customWidth="1"/>
  </cols>
  <sheetData>
    <row r="1" spans="1:22">
      <c r="A1" s="17" t="s">
        <v>730</v>
      </c>
      <c r="B1" s="17" t="s">
        <v>999</v>
      </c>
      <c r="C1" s="17" t="s">
        <v>1000</v>
      </c>
      <c r="D1" s="17" t="s">
        <v>1001</v>
      </c>
      <c r="E1" s="17" t="s">
        <v>1002</v>
      </c>
      <c r="F1" s="17" t="s">
        <v>1003</v>
      </c>
      <c r="G1" s="17" t="s">
        <v>1004</v>
      </c>
      <c r="H1" s="17" t="s">
        <v>1005</v>
      </c>
      <c r="I1" s="17" t="s">
        <v>1006</v>
      </c>
      <c r="J1" s="17" t="s">
        <v>1007</v>
      </c>
      <c r="K1" s="17" t="s">
        <v>1008</v>
      </c>
      <c r="L1" s="17" t="s">
        <v>1009</v>
      </c>
      <c r="M1" s="17" t="s">
        <v>969</v>
      </c>
      <c r="N1" s="17" t="s">
        <v>970</v>
      </c>
      <c r="O1" s="17" t="s">
        <v>971</v>
      </c>
      <c r="P1" s="17" t="s">
        <v>972</v>
      </c>
      <c r="Q1" s="17" t="s">
        <v>973</v>
      </c>
      <c r="R1" s="17" t="s">
        <v>974</v>
      </c>
      <c r="S1" s="17" t="s">
        <v>975</v>
      </c>
      <c r="T1" s="17" t="s">
        <v>1010</v>
      </c>
      <c r="U1" s="17" t="s">
        <v>1011</v>
      </c>
      <c r="V1" s="17" t="s">
        <v>1012</v>
      </c>
    </row>
    <row r="2" spans="1:22">
      <c r="A2" s="17" t="s">
        <v>1121</v>
      </c>
      <c r="B2" s="38">
        <v>2.93E-2</v>
      </c>
      <c r="C2" s="38">
        <v>2.76E-2</v>
      </c>
      <c r="D2" s="38">
        <v>2.8500000000000001E-2</v>
      </c>
      <c r="E2" s="38">
        <v>2.24E-2</v>
      </c>
      <c r="F2" s="38">
        <v>1.3100000000000001E-2</v>
      </c>
      <c r="G2" s="38">
        <v>3.4099999999999998E-2</v>
      </c>
      <c r="H2" s="38">
        <v>2.23E-2</v>
      </c>
      <c r="I2" s="38">
        <v>4.4499999999999998E-2</v>
      </c>
      <c r="J2" s="38">
        <v>3.1899999999999998E-2</v>
      </c>
      <c r="K2" s="38">
        <v>4.02E-2</v>
      </c>
      <c r="L2" s="38">
        <v>2.5000000000000001E-2</v>
      </c>
      <c r="M2" s="38">
        <v>2.9000000000000001E-2</v>
      </c>
      <c r="N2" s="17">
        <v>2.4700000000000002</v>
      </c>
      <c r="O2" s="38">
        <v>2.2000000000000001E-3</v>
      </c>
      <c r="P2" s="17">
        <v>1.57</v>
      </c>
      <c r="Q2" s="17">
        <v>1.04</v>
      </c>
      <c r="R2" s="17">
        <v>0.90500000000000003</v>
      </c>
      <c r="S2" s="17">
        <v>0.94</v>
      </c>
      <c r="T2" s="17">
        <v>20081231</v>
      </c>
      <c r="U2" s="17">
        <v>20190731</v>
      </c>
      <c r="V2" s="17">
        <v>128</v>
      </c>
    </row>
    <row r="3" spans="1:22">
      <c r="A3" s="17" t="s">
        <v>1122</v>
      </c>
      <c r="B3" s="38">
        <v>5.8200000000000002E-2</v>
      </c>
      <c r="C3" s="38">
        <v>-4.4999999999999997E-3</v>
      </c>
      <c r="D3" s="38">
        <v>4.41E-2</v>
      </c>
      <c r="E3" s="38">
        <v>3.5299999999999998E-2</v>
      </c>
      <c r="F3" s="38">
        <v>1.14E-2</v>
      </c>
      <c r="G3" s="38">
        <v>9.8500000000000004E-2</v>
      </c>
      <c r="H3" s="38">
        <v>2.3699999999999999E-2</v>
      </c>
      <c r="I3" s="38">
        <v>9.7699999999999995E-2</v>
      </c>
      <c r="J3" s="38">
        <v>5.3999999999999999E-2</v>
      </c>
      <c r="K3" s="38">
        <v>4.4900000000000002E-2</v>
      </c>
      <c r="L3" s="38">
        <v>3.9199999999999999E-2</v>
      </c>
      <c r="M3" s="38">
        <v>4.5999999999999999E-2</v>
      </c>
      <c r="N3" s="17">
        <v>1.73</v>
      </c>
      <c r="O3" s="38">
        <v>2.7000000000000001E-3</v>
      </c>
      <c r="P3" s="17">
        <v>0.81</v>
      </c>
      <c r="Q3" s="17">
        <v>1.24</v>
      </c>
      <c r="R3" s="17">
        <v>0.999</v>
      </c>
      <c r="S3" s="17">
        <v>0.97</v>
      </c>
      <c r="T3" s="17">
        <v>20081231</v>
      </c>
      <c r="U3" s="17">
        <v>20190731</v>
      </c>
      <c r="V3" s="17">
        <v>128</v>
      </c>
    </row>
    <row r="4" spans="1:22">
      <c r="A4" s="17" t="s">
        <v>1123</v>
      </c>
      <c r="B4" s="38">
        <v>0</v>
      </c>
      <c r="C4" s="38">
        <v>1.5900000000000001E-2</v>
      </c>
      <c r="D4" s="38">
        <v>8.48E-2</v>
      </c>
      <c r="E4" s="38">
        <v>5.79E-2</v>
      </c>
      <c r="F4" s="38">
        <v>3.5999999999999997E-2</v>
      </c>
      <c r="G4" s="38">
        <v>8.7900000000000006E-2</v>
      </c>
      <c r="H4" s="38">
        <v>4.4600000000000001E-2</v>
      </c>
      <c r="I4" s="38">
        <v>0.1207</v>
      </c>
      <c r="J4" s="38">
        <v>8.9599999999999999E-2</v>
      </c>
      <c r="K4" s="38">
        <v>8.2299999999999998E-2</v>
      </c>
      <c r="L4" s="38">
        <v>7.3700000000000002E-2</v>
      </c>
      <c r="M4" s="38">
        <v>6.9000000000000006E-2</v>
      </c>
      <c r="N4" s="17">
        <v>2.94</v>
      </c>
      <c r="O4" s="38">
        <v>4.0000000000000001E-3</v>
      </c>
      <c r="P4" s="17">
        <v>1.46</v>
      </c>
      <c r="Q4" s="17">
        <v>2.0499999999999998</v>
      </c>
      <c r="R4" s="17">
        <v>0.98</v>
      </c>
      <c r="S4" s="17">
        <v>0.59</v>
      </c>
      <c r="T4" s="17">
        <v>20091231</v>
      </c>
      <c r="U4" s="17">
        <v>20190731</v>
      </c>
      <c r="V4" s="17">
        <v>116</v>
      </c>
    </row>
    <row r="5" spans="1:22">
      <c r="A5" s="17" t="s">
        <v>1124</v>
      </c>
      <c r="B5" s="38">
        <v>3.8899999999999997E-2</v>
      </c>
      <c r="C5" s="38">
        <v>3.1600000000000003E-2</v>
      </c>
      <c r="D5" s="38">
        <v>3.39E-2</v>
      </c>
      <c r="E5" s="38">
        <v>1.95E-2</v>
      </c>
      <c r="F5" s="38">
        <v>2.2800000000000001E-2</v>
      </c>
      <c r="G5" s="38">
        <v>4.6699999999999998E-2</v>
      </c>
      <c r="H5" s="38">
        <v>2.81E-2</v>
      </c>
      <c r="I5" s="38">
        <v>6.6000000000000003E-2</v>
      </c>
      <c r="J5" s="38">
        <v>4.2200000000000001E-2</v>
      </c>
      <c r="K5" s="38">
        <v>4.6600000000000003E-2</v>
      </c>
      <c r="L5" s="38">
        <v>3.3399999999999999E-2</v>
      </c>
      <c r="M5" s="38">
        <v>3.6999999999999998E-2</v>
      </c>
      <c r="N5" s="17">
        <v>2.71</v>
      </c>
      <c r="O5" s="38">
        <v>2.5000000000000001E-3</v>
      </c>
      <c r="P5" s="17">
        <v>1.44</v>
      </c>
      <c r="Q5" s="17">
        <v>1.18</v>
      </c>
      <c r="R5" s="17">
        <v>0.91200000000000003</v>
      </c>
      <c r="S5" s="17">
        <v>0.94</v>
      </c>
      <c r="T5" s="17">
        <v>20081231</v>
      </c>
      <c r="U5" s="17">
        <v>20190731</v>
      </c>
      <c r="V5" s="17">
        <v>128</v>
      </c>
    </row>
    <row r="6" spans="1:22">
      <c r="A6" s="17" t="s">
        <v>1125</v>
      </c>
      <c r="B6" s="38">
        <v>3.32E-2</v>
      </c>
      <c r="C6" s="38">
        <v>1.6899999999999998E-2</v>
      </c>
      <c r="D6" s="38">
        <v>2.58E-2</v>
      </c>
      <c r="E6" s="38">
        <v>1.14E-2</v>
      </c>
      <c r="F6" s="38">
        <v>1.9599999999999999E-2</v>
      </c>
      <c r="G6" s="38">
        <v>4.3499999999999997E-2</v>
      </c>
      <c r="H6" s="38">
        <v>3.2300000000000002E-2</v>
      </c>
      <c r="I6" s="38">
        <v>6.0699999999999997E-2</v>
      </c>
      <c r="J6" s="38">
        <v>3.3099999999999997E-2</v>
      </c>
      <c r="K6" s="38">
        <v>3.8800000000000001E-2</v>
      </c>
      <c r="L6" s="38">
        <v>2.92E-2</v>
      </c>
      <c r="M6" s="38">
        <v>3.1E-2</v>
      </c>
      <c r="N6" s="17">
        <v>2.59</v>
      </c>
      <c r="O6" s="38">
        <v>1.6000000000000001E-3</v>
      </c>
      <c r="P6" s="17">
        <v>1.21</v>
      </c>
      <c r="Q6" s="17">
        <v>0.81</v>
      </c>
      <c r="R6" s="17">
        <v>0.999</v>
      </c>
      <c r="S6" s="17">
        <v>0.93</v>
      </c>
      <c r="T6" s="17">
        <v>20081231</v>
      </c>
      <c r="U6" s="17">
        <v>20190731</v>
      </c>
      <c r="V6" s="17">
        <v>128</v>
      </c>
    </row>
    <row r="7" spans="1:22">
      <c r="A7" s="17" t="s">
        <v>1126</v>
      </c>
      <c r="B7" s="38">
        <v>6.88E-2</v>
      </c>
      <c r="C7" s="38">
        <v>5.1000000000000004E-3</v>
      </c>
      <c r="D7" s="38">
        <v>4.8800000000000003E-2</v>
      </c>
      <c r="E7" s="38">
        <v>4.2999999999999997E-2</v>
      </c>
      <c r="F7" s="38">
        <v>1.4500000000000001E-2</v>
      </c>
      <c r="G7" s="38">
        <v>9.8699999999999996E-2</v>
      </c>
      <c r="H7" s="38">
        <v>3.1699999999999999E-2</v>
      </c>
      <c r="I7" s="38">
        <v>9.8699999999999996E-2</v>
      </c>
      <c r="J7" s="38">
        <v>6.3399999999999998E-2</v>
      </c>
      <c r="K7" s="38">
        <v>4.36E-2</v>
      </c>
      <c r="L7" s="38">
        <v>3.5999999999999997E-2</v>
      </c>
      <c r="M7" s="38">
        <v>5.0999999999999997E-2</v>
      </c>
      <c r="N7" s="17">
        <v>1.94</v>
      </c>
      <c r="O7" s="38">
        <v>3.2000000000000002E-3</v>
      </c>
      <c r="P7" s="17">
        <v>0.96</v>
      </c>
      <c r="Q7" s="17">
        <v>1.42</v>
      </c>
      <c r="R7" s="17">
        <v>0.999</v>
      </c>
      <c r="S7" s="17">
        <v>0.97</v>
      </c>
      <c r="T7" s="17">
        <v>20081231</v>
      </c>
      <c r="U7" s="17">
        <v>20190731</v>
      </c>
      <c r="V7" s="17">
        <v>128</v>
      </c>
    </row>
    <row r="8" spans="1:22">
      <c r="A8" s="17" t="s">
        <v>1127</v>
      </c>
      <c r="B8" s="38">
        <v>6.0199999999999997E-2</v>
      </c>
      <c r="C8" s="38">
        <v>5.3900000000000003E-2</v>
      </c>
      <c r="D8" s="38">
        <v>4.9099999999999998E-2</v>
      </c>
      <c r="E8" s="38">
        <v>6.0900000000000003E-2</v>
      </c>
      <c r="F8" s="38">
        <v>4.3099999999999999E-2</v>
      </c>
      <c r="G8" s="38">
        <v>5.6300000000000003E-2</v>
      </c>
      <c r="H8" s="38">
        <v>6.9199999999999998E-2</v>
      </c>
      <c r="I8" s="38">
        <v>9.4600000000000004E-2</v>
      </c>
      <c r="J8" s="38">
        <v>9.06E-2</v>
      </c>
      <c r="K8" s="38">
        <v>2.7E-2</v>
      </c>
      <c r="L8" s="38">
        <v>2.3E-2</v>
      </c>
      <c r="M8" s="38">
        <v>5.8000000000000003E-2</v>
      </c>
      <c r="N8" s="17">
        <v>3.05</v>
      </c>
      <c r="O8" s="38">
        <v>4.4999999999999997E-3</v>
      </c>
      <c r="P8" s="17">
        <v>1.87</v>
      </c>
      <c r="Q8" s="17">
        <v>1.94</v>
      </c>
      <c r="R8" s="17">
        <v>0.999</v>
      </c>
      <c r="S8" s="17">
        <v>0.94</v>
      </c>
      <c r="T8" s="17">
        <v>20081231</v>
      </c>
      <c r="U8" s="17">
        <v>20190731</v>
      </c>
      <c r="V8" s="17">
        <v>128</v>
      </c>
    </row>
    <row r="9" spans="1:22">
      <c r="A9" s="17" t="s">
        <v>1128</v>
      </c>
      <c r="B9" s="38">
        <v>3.2000000000000001E-2</v>
      </c>
      <c r="C9" s="38">
        <v>-3.5999999999999999E-3</v>
      </c>
      <c r="D9" s="38">
        <v>1.8800000000000001E-2</v>
      </c>
      <c r="E9" s="38">
        <v>1.8800000000000001E-2</v>
      </c>
      <c r="F9" s="38">
        <v>-7.4000000000000003E-3</v>
      </c>
      <c r="G9" s="38">
        <v>6.9800000000000001E-2</v>
      </c>
      <c r="H9" s="38">
        <v>1.46E-2</v>
      </c>
      <c r="I9" s="38">
        <v>6.4000000000000001E-2</v>
      </c>
      <c r="J9" s="38">
        <v>4.1799999999999997E-2</v>
      </c>
      <c r="K9" s="38">
        <v>1.7100000000000001E-2</v>
      </c>
      <c r="L9" s="38">
        <v>2.3900000000000001E-2</v>
      </c>
      <c r="M9" s="38">
        <v>2.5999999999999999E-2</v>
      </c>
      <c r="N9" s="17">
        <v>1.26</v>
      </c>
      <c r="O9" s="38">
        <v>2E-3</v>
      </c>
      <c r="P9" s="17">
        <v>0.79</v>
      </c>
      <c r="Q9" s="17">
        <v>0.91</v>
      </c>
      <c r="R9" s="17">
        <v>0.999</v>
      </c>
      <c r="S9" s="17">
        <v>0.98</v>
      </c>
      <c r="T9" s="17">
        <v>20081231</v>
      </c>
      <c r="U9" s="17">
        <v>20190731</v>
      </c>
      <c r="V9" s="17">
        <v>128</v>
      </c>
    </row>
    <row r="10" spans="1:22">
      <c r="A10" s="17" t="s">
        <v>1129</v>
      </c>
      <c r="B10" s="38">
        <v>1.55E-2</v>
      </c>
      <c r="C10" s="38">
        <v>3.9600000000000003E-2</v>
      </c>
      <c r="D10" s="38">
        <v>2.58E-2</v>
      </c>
      <c r="E10" s="38">
        <v>1.12E-2</v>
      </c>
      <c r="F10" s="38">
        <v>4.6899999999999997E-2</v>
      </c>
      <c r="G10" s="38">
        <v>5.5599999999999997E-2</v>
      </c>
      <c r="H10" s="38">
        <v>5.5899999999999998E-2</v>
      </c>
      <c r="I10" s="38">
        <v>6.6799999999999998E-2</v>
      </c>
      <c r="J10" s="38">
        <v>3.6900000000000002E-2</v>
      </c>
      <c r="K10" s="38">
        <v>6.2199999999999998E-2</v>
      </c>
      <c r="L10" s="38">
        <v>4.2099999999999999E-2</v>
      </c>
      <c r="M10" s="38">
        <v>4.2000000000000003E-2</v>
      </c>
      <c r="N10" s="17">
        <v>2.95</v>
      </c>
      <c r="O10" s="38">
        <v>2.5000000000000001E-3</v>
      </c>
      <c r="P10" s="17">
        <v>1.54</v>
      </c>
      <c r="Q10" s="17">
        <v>1.27</v>
      </c>
      <c r="R10" s="17">
        <v>0.999</v>
      </c>
      <c r="S10" s="17">
        <v>0.94</v>
      </c>
      <c r="T10" s="17">
        <v>20081231</v>
      </c>
      <c r="U10" s="17">
        <v>20190731</v>
      </c>
      <c r="V10" s="17">
        <v>128</v>
      </c>
    </row>
    <row r="11" spans="1:22">
      <c r="A11" s="17" t="s">
        <v>1130</v>
      </c>
      <c r="B11" s="38">
        <v>3.6799999999999999E-2</v>
      </c>
      <c r="C11" s="38">
        <v>3.6799999999999999E-2</v>
      </c>
      <c r="D11" s="38">
        <v>5.3100000000000001E-2</v>
      </c>
      <c r="E11" s="38">
        <v>5.1900000000000002E-2</v>
      </c>
      <c r="F11" s="38">
        <v>4.4499999999999998E-2</v>
      </c>
      <c r="G11" s="38">
        <v>5.2999999999999999E-2</v>
      </c>
      <c r="H11" s="38">
        <v>6.1600000000000002E-2</v>
      </c>
      <c r="I11" s="38">
        <v>8.2000000000000003E-2</v>
      </c>
      <c r="J11" s="38">
        <v>7.6600000000000001E-2</v>
      </c>
      <c r="K11" s="38">
        <v>4.5699999999999998E-2</v>
      </c>
      <c r="L11" s="38">
        <v>2.7199999999999998E-2</v>
      </c>
      <c r="M11" s="38">
        <v>5.2999999999999999E-2</v>
      </c>
      <c r="N11" s="17">
        <v>2.82</v>
      </c>
      <c r="O11" s="38">
        <v>3.3E-3</v>
      </c>
      <c r="P11" s="17">
        <v>1.54</v>
      </c>
      <c r="Q11" s="17">
        <v>1.55</v>
      </c>
      <c r="R11" s="17">
        <v>0.999</v>
      </c>
      <c r="S11" s="17">
        <v>0.95</v>
      </c>
      <c r="T11" s="17">
        <v>20081231</v>
      </c>
      <c r="U11" s="17">
        <v>20190731</v>
      </c>
      <c r="V11" s="17">
        <v>128</v>
      </c>
    </row>
    <row r="12" spans="1:22">
      <c r="A12" s="17" t="s">
        <v>1131</v>
      </c>
      <c r="B12" s="38">
        <v>7.3700000000000002E-2</v>
      </c>
      <c r="C12" s="38">
        <v>5.0299999999999997E-2</v>
      </c>
      <c r="D12" s="38">
        <v>5.0999999999999997E-2</v>
      </c>
      <c r="E12" s="38">
        <v>6.1199999999999997E-2</v>
      </c>
      <c r="F12" s="38">
        <v>2.9000000000000001E-2</v>
      </c>
      <c r="G12" s="38">
        <v>6.7900000000000002E-2</v>
      </c>
      <c r="H12" s="38">
        <v>7.3800000000000004E-2</v>
      </c>
      <c r="I12" s="38">
        <v>9.2899999999999996E-2</v>
      </c>
      <c r="J12" s="38">
        <v>8.5900000000000004E-2</v>
      </c>
      <c r="K12" s="38">
        <v>2.0299999999999999E-2</v>
      </c>
      <c r="L12" s="38">
        <v>1.23E-2</v>
      </c>
      <c r="M12" s="38">
        <v>5.8000000000000003E-2</v>
      </c>
      <c r="N12" s="17">
        <v>2.66</v>
      </c>
      <c r="O12" s="38">
        <v>4.4999999999999997E-3</v>
      </c>
      <c r="P12" s="17">
        <v>1.66</v>
      </c>
      <c r="Q12" s="17">
        <v>1.78</v>
      </c>
      <c r="R12" s="17">
        <v>0.79700000000000004</v>
      </c>
      <c r="S12" s="17">
        <v>0.94</v>
      </c>
      <c r="T12" s="17">
        <v>20081231</v>
      </c>
      <c r="U12" s="17">
        <v>20190731</v>
      </c>
      <c r="V12" s="17">
        <v>128</v>
      </c>
    </row>
    <row r="13" spans="1:22">
      <c r="A13" s="17" t="s">
        <v>1132</v>
      </c>
      <c r="B13" s="38">
        <v>6.6799999999999998E-2</v>
      </c>
      <c r="C13" s="38">
        <v>4.87E-2</v>
      </c>
      <c r="D13" s="38">
        <v>5.2200000000000003E-2</v>
      </c>
      <c r="E13" s="38">
        <v>6.6799999999999998E-2</v>
      </c>
      <c r="F13" s="38">
        <v>3.1199999999999999E-2</v>
      </c>
      <c r="G13" s="38">
        <v>6.4699999999999994E-2</v>
      </c>
      <c r="H13" s="38">
        <v>7.4099999999999999E-2</v>
      </c>
      <c r="I13" s="38">
        <v>9.2799999999999994E-2</v>
      </c>
      <c r="J13" s="38">
        <v>8.8599999999999998E-2</v>
      </c>
      <c r="K13" s="38">
        <v>1.9199999999999998E-2</v>
      </c>
      <c r="L13" s="38">
        <v>1.7899999999999999E-2</v>
      </c>
      <c r="M13" s="38">
        <v>5.8000000000000003E-2</v>
      </c>
      <c r="N13" s="17">
        <v>2.73</v>
      </c>
      <c r="O13" s="38">
        <v>4.7000000000000002E-3</v>
      </c>
      <c r="P13" s="17">
        <v>1.77</v>
      </c>
      <c r="Q13" s="17">
        <v>1.85</v>
      </c>
      <c r="R13" s="17">
        <v>0.79800000000000004</v>
      </c>
      <c r="S13" s="17">
        <v>0.93</v>
      </c>
      <c r="T13" s="17">
        <v>20081231</v>
      </c>
      <c r="U13" s="17">
        <v>20190731</v>
      </c>
      <c r="V13" s="17">
        <v>128</v>
      </c>
    </row>
    <row r="14" spans="1:22">
      <c r="A14" s="17" t="s">
        <v>1133</v>
      </c>
      <c r="B14" s="38">
        <v>3.9E-2</v>
      </c>
      <c r="C14" s="38">
        <v>4.7300000000000002E-2</v>
      </c>
      <c r="D14" s="38">
        <v>5.2900000000000003E-2</v>
      </c>
      <c r="E14" s="38">
        <v>4.8800000000000003E-2</v>
      </c>
      <c r="F14" s="38">
        <v>4.9299999999999997E-2</v>
      </c>
      <c r="G14" s="38">
        <v>4.53E-2</v>
      </c>
      <c r="H14" s="38">
        <v>6.1899999999999997E-2</v>
      </c>
      <c r="I14" s="38">
        <v>7.2099999999999997E-2</v>
      </c>
      <c r="J14" s="38">
        <v>7.0599999999999996E-2</v>
      </c>
      <c r="K14" s="38">
        <v>4.3700000000000003E-2</v>
      </c>
      <c r="L14" s="38">
        <v>2.3599999999999999E-2</v>
      </c>
      <c r="M14" s="38">
        <v>5.0999999999999997E-2</v>
      </c>
      <c r="N14" s="17">
        <v>2.8</v>
      </c>
      <c r="O14" s="38">
        <v>3.3E-3</v>
      </c>
      <c r="P14" s="17">
        <v>1.7</v>
      </c>
      <c r="Q14" s="17">
        <v>1.57</v>
      </c>
      <c r="R14" s="17">
        <v>0.97299999999999998</v>
      </c>
      <c r="S14" s="17">
        <v>0.96</v>
      </c>
      <c r="T14" s="17">
        <v>20081231</v>
      </c>
      <c r="U14" s="17">
        <v>20190731</v>
      </c>
      <c r="V14" s="17">
        <v>128</v>
      </c>
    </row>
    <row r="15" spans="1:22">
      <c r="A15" s="17" t="s">
        <v>1134</v>
      </c>
      <c r="B15" s="38">
        <v>3.95E-2</v>
      </c>
      <c r="C15" s="38">
        <v>-1.2200000000000001E-2</v>
      </c>
      <c r="D15" s="38">
        <v>3.7199999999999997E-2</v>
      </c>
      <c r="E15" s="38">
        <v>2.18E-2</v>
      </c>
      <c r="F15" s="38">
        <v>4.1000000000000003E-3</v>
      </c>
      <c r="G15" s="38">
        <v>8.8900000000000007E-2</v>
      </c>
      <c r="H15" s="38">
        <v>-4.0000000000000001E-3</v>
      </c>
      <c r="I15" s="38">
        <v>8.7599999999999997E-2</v>
      </c>
      <c r="J15" s="38">
        <v>4.8000000000000001E-2</v>
      </c>
      <c r="K15" s="38">
        <v>3.8600000000000002E-2</v>
      </c>
      <c r="L15" s="38">
        <v>4.1200000000000001E-2</v>
      </c>
      <c r="M15" s="38">
        <v>3.5000000000000003E-2</v>
      </c>
      <c r="N15" s="17">
        <v>1.35</v>
      </c>
      <c r="O15" s="38">
        <v>2E-3</v>
      </c>
      <c r="P15" s="17">
        <v>0.59</v>
      </c>
      <c r="Q15" s="17">
        <v>0.92</v>
      </c>
      <c r="R15" s="17">
        <v>0.999</v>
      </c>
      <c r="S15" s="17">
        <v>0.97</v>
      </c>
      <c r="T15" s="17">
        <v>20081231</v>
      </c>
      <c r="U15" s="17">
        <v>20190731</v>
      </c>
      <c r="V15" s="17">
        <v>128</v>
      </c>
    </row>
    <row r="16" spans="1:22">
      <c r="A16" s="17" t="s">
        <v>1135</v>
      </c>
      <c r="B16" s="38">
        <v>3.9800000000000002E-2</v>
      </c>
      <c r="C16" s="38">
        <v>4.0800000000000003E-2</v>
      </c>
      <c r="D16" s="38">
        <v>5.8999999999999997E-2</v>
      </c>
      <c r="E16" s="38">
        <v>6.0999999999999999E-2</v>
      </c>
      <c r="F16" s="38">
        <v>5.3800000000000001E-2</v>
      </c>
      <c r="G16" s="38">
        <v>5.9499999999999997E-2</v>
      </c>
      <c r="H16" s="38">
        <v>5.6800000000000003E-2</v>
      </c>
      <c r="I16" s="38">
        <v>8.1900000000000001E-2</v>
      </c>
      <c r="J16" s="38">
        <v>8.6099999999999996E-2</v>
      </c>
      <c r="K16" s="38">
        <v>5.5500000000000001E-2</v>
      </c>
      <c r="L16" s="38">
        <v>3.5299999999999998E-2</v>
      </c>
      <c r="M16" s="38">
        <v>5.8000000000000003E-2</v>
      </c>
      <c r="N16" s="17">
        <v>2.99</v>
      </c>
      <c r="O16" s="38">
        <v>3.5999999999999999E-3</v>
      </c>
      <c r="P16" s="17">
        <v>1.62</v>
      </c>
      <c r="Q16" s="17">
        <v>1.75</v>
      </c>
      <c r="R16" s="17">
        <v>0.98099999999999998</v>
      </c>
      <c r="S16" s="17">
        <v>0.95</v>
      </c>
      <c r="T16" s="17">
        <v>20081231</v>
      </c>
      <c r="U16" s="17">
        <v>20190731</v>
      </c>
      <c r="V16" s="17">
        <v>128</v>
      </c>
    </row>
    <row r="17" spans="1:22">
      <c r="A17" s="17" t="s">
        <v>1136</v>
      </c>
      <c r="B17" s="38">
        <v>3.2800000000000003E-2</v>
      </c>
      <c r="C17" s="38">
        <v>-5.9999999999999995E-4</v>
      </c>
      <c r="D17" s="38">
        <v>2.3599999999999999E-2</v>
      </c>
      <c r="E17" s="38">
        <v>2.2499999999999999E-2</v>
      </c>
      <c r="F17" s="38">
        <v>-3.3E-3</v>
      </c>
      <c r="G17" s="38">
        <v>7.0400000000000004E-2</v>
      </c>
      <c r="H17" s="38">
        <v>9.5999999999999992E-3</v>
      </c>
      <c r="I17" s="38">
        <v>6.7699999999999996E-2</v>
      </c>
      <c r="J17" s="38">
        <v>3.9600000000000003E-2</v>
      </c>
      <c r="K17" s="38">
        <v>2.52E-2</v>
      </c>
      <c r="L17" s="38">
        <v>3.0599999999999999E-2</v>
      </c>
      <c r="M17" s="38">
        <v>2.9000000000000001E-2</v>
      </c>
      <c r="N17" s="17">
        <v>1.3</v>
      </c>
      <c r="O17" s="38">
        <v>2E-3</v>
      </c>
      <c r="P17" s="17">
        <v>0.79</v>
      </c>
      <c r="Q17" s="17">
        <v>0.92</v>
      </c>
      <c r="R17" s="17">
        <v>0.999</v>
      </c>
      <c r="S17" s="17">
        <v>0.99</v>
      </c>
      <c r="T17" s="17">
        <v>20081231</v>
      </c>
      <c r="U17" s="17">
        <v>20190731</v>
      </c>
      <c r="V17" s="17">
        <v>128</v>
      </c>
    </row>
    <row r="18" spans="1:22">
      <c r="A18" s="17" t="s">
        <v>1137</v>
      </c>
      <c r="B18" s="38">
        <v>4.4200000000000003E-2</v>
      </c>
      <c r="C18" s="38">
        <v>-1.4E-3</v>
      </c>
      <c r="D18" s="38">
        <v>2.0899999999999998E-2</v>
      </c>
      <c r="E18" s="38">
        <v>2.12E-2</v>
      </c>
      <c r="F18" s="38">
        <v>-1.5100000000000001E-2</v>
      </c>
      <c r="G18" s="38">
        <v>6.1899999999999997E-2</v>
      </c>
      <c r="H18" s="38">
        <v>8.3000000000000001E-3</v>
      </c>
      <c r="I18" s="38">
        <v>6.4600000000000005E-2</v>
      </c>
      <c r="J18" s="38">
        <v>3.9E-2</v>
      </c>
      <c r="K18" s="38">
        <v>6.7000000000000002E-3</v>
      </c>
      <c r="L18" s="38">
        <v>1.4500000000000001E-2</v>
      </c>
      <c r="M18" s="38">
        <v>2.4E-2</v>
      </c>
      <c r="N18" s="17">
        <v>1.04</v>
      </c>
      <c r="O18" s="38">
        <v>1.8E-3</v>
      </c>
      <c r="P18" s="17">
        <v>0.77</v>
      </c>
      <c r="Q18" s="17">
        <v>0.75</v>
      </c>
      <c r="R18" s="17">
        <v>0.80200000000000005</v>
      </c>
      <c r="S18" s="17">
        <v>0.98</v>
      </c>
      <c r="T18" s="17">
        <v>20081231</v>
      </c>
      <c r="U18" s="17">
        <v>20190731</v>
      </c>
      <c r="V18" s="17">
        <v>128</v>
      </c>
    </row>
    <row r="19" spans="1:22">
      <c r="A19" s="17" t="s">
        <v>1138</v>
      </c>
      <c r="B19" s="38">
        <v>0</v>
      </c>
      <c r="C19" s="38">
        <v>2.86E-2</v>
      </c>
      <c r="D19" s="38">
        <v>5.74E-2</v>
      </c>
      <c r="E19" s="38">
        <v>4.1799999999999997E-2</v>
      </c>
      <c r="F19" s="38">
        <v>3.0200000000000001E-2</v>
      </c>
      <c r="G19" s="38">
        <v>6.08E-2</v>
      </c>
      <c r="H19" s="38">
        <v>3.8699999999999998E-2</v>
      </c>
      <c r="I19" s="38">
        <v>9.3899999999999997E-2</v>
      </c>
      <c r="J19" s="38">
        <v>6.6600000000000006E-2</v>
      </c>
      <c r="K19" s="38">
        <v>5.9799999999999999E-2</v>
      </c>
      <c r="L19" s="38">
        <v>4.6600000000000003E-2</v>
      </c>
      <c r="M19" s="38">
        <v>5.2999999999999999E-2</v>
      </c>
      <c r="N19" s="17">
        <v>2.65</v>
      </c>
      <c r="O19" s="38">
        <v>3.0999999999999999E-3</v>
      </c>
      <c r="P19" s="17">
        <v>1.44</v>
      </c>
      <c r="Q19" s="17">
        <v>1.53</v>
      </c>
      <c r="R19" s="17">
        <v>0.79300000000000004</v>
      </c>
      <c r="S19" s="17">
        <v>0.41</v>
      </c>
      <c r="T19" s="17">
        <v>20091231</v>
      </c>
      <c r="U19" s="17">
        <v>20190731</v>
      </c>
      <c r="V19" s="17">
        <v>116</v>
      </c>
    </row>
    <row r="20" spans="1:22">
      <c r="A20" s="17" t="s">
        <v>1139</v>
      </c>
      <c r="B20" s="38">
        <v>4.5400000000000003E-2</v>
      </c>
      <c r="C20" s="38">
        <v>1.9E-3</v>
      </c>
      <c r="D20" s="38">
        <v>2.24E-2</v>
      </c>
      <c r="E20" s="38">
        <v>2.0899999999999998E-2</v>
      </c>
      <c r="F20" s="38">
        <v>-1.0699999999999999E-2</v>
      </c>
      <c r="G20" s="38">
        <v>0.06</v>
      </c>
      <c r="H20" s="38">
        <v>1.2800000000000001E-2</v>
      </c>
      <c r="I20" s="38">
        <v>6.2600000000000003E-2</v>
      </c>
      <c r="J20" s="38">
        <v>4.1300000000000003E-2</v>
      </c>
      <c r="K20" s="38">
        <v>6.6E-3</v>
      </c>
      <c r="L20" s="38">
        <v>1.66E-2</v>
      </c>
      <c r="M20" s="38">
        <v>2.5999999999999999E-2</v>
      </c>
      <c r="N20" s="17">
        <v>1.1499999999999999</v>
      </c>
      <c r="O20" s="38">
        <v>1.9E-3</v>
      </c>
      <c r="P20" s="17">
        <v>0.85</v>
      </c>
      <c r="Q20" s="17">
        <v>0.79</v>
      </c>
      <c r="R20" s="17">
        <v>0.80200000000000005</v>
      </c>
      <c r="S20" s="17">
        <v>0.98</v>
      </c>
      <c r="T20" s="17">
        <v>20081231</v>
      </c>
      <c r="U20" s="17">
        <v>20190731</v>
      </c>
      <c r="V20" s="17">
        <v>128</v>
      </c>
    </row>
    <row r="21" spans="1:22">
      <c r="A21" s="17" t="s">
        <v>1140</v>
      </c>
      <c r="B21" s="38">
        <v>3.2599999999999997E-2</v>
      </c>
      <c r="C21" s="38">
        <v>-1.1000000000000001E-3</v>
      </c>
      <c r="D21" s="38">
        <v>2.35E-2</v>
      </c>
      <c r="E21" s="38">
        <v>2.24E-2</v>
      </c>
      <c r="F21" s="38">
        <v>-3.8999999999999998E-3</v>
      </c>
      <c r="G21" s="38">
        <v>7.0499999999999993E-2</v>
      </c>
      <c r="H21" s="38">
        <v>9.9000000000000008E-3</v>
      </c>
      <c r="I21" s="38">
        <v>6.7699999999999996E-2</v>
      </c>
      <c r="J21" s="38">
        <v>3.8600000000000002E-2</v>
      </c>
      <c r="K21" s="38">
        <v>2.4400000000000002E-2</v>
      </c>
      <c r="L21" s="38">
        <v>2.9600000000000001E-2</v>
      </c>
      <c r="M21" s="38">
        <v>2.9000000000000001E-2</v>
      </c>
      <c r="N21" s="17">
        <v>1.28</v>
      </c>
      <c r="O21" s="38">
        <v>1.9E-3</v>
      </c>
      <c r="P21" s="17">
        <v>0.78</v>
      </c>
      <c r="Q21" s="17">
        <v>0.91</v>
      </c>
      <c r="R21" s="17">
        <v>0.999</v>
      </c>
      <c r="S21" s="17">
        <v>0.99</v>
      </c>
      <c r="T21" s="17">
        <v>20081231</v>
      </c>
      <c r="U21" s="17">
        <v>20190731</v>
      </c>
      <c r="V21" s="17">
        <v>128</v>
      </c>
    </row>
    <row r="22" spans="1:22">
      <c r="A22" s="17" t="s">
        <v>1141</v>
      </c>
      <c r="B22" s="38">
        <v>0</v>
      </c>
      <c r="C22" s="38">
        <v>2.6700000000000002E-2</v>
      </c>
      <c r="D22" s="38">
        <v>7.8299999999999995E-2</v>
      </c>
      <c r="E22" s="38">
        <v>4.6899999999999997E-2</v>
      </c>
      <c r="F22" s="38">
        <v>3.95E-2</v>
      </c>
      <c r="G22" s="38">
        <v>6.0999999999999999E-2</v>
      </c>
      <c r="H22" s="38">
        <v>3.4799999999999998E-2</v>
      </c>
      <c r="I22" s="38">
        <v>9.3700000000000006E-2</v>
      </c>
      <c r="J22" s="38">
        <v>7.8100000000000003E-2</v>
      </c>
      <c r="K22" s="38">
        <v>7.6300000000000007E-2</v>
      </c>
      <c r="L22" s="38">
        <v>7.17E-2</v>
      </c>
      <c r="M22" s="38">
        <v>0.06</v>
      </c>
      <c r="N22" s="17">
        <v>3</v>
      </c>
      <c r="O22" s="38">
        <v>3.7000000000000002E-3</v>
      </c>
      <c r="P22" s="17">
        <v>1.72</v>
      </c>
      <c r="Q22" s="17">
        <v>1.97</v>
      </c>
      <c r="R22" s="17">
        <v>0.97899999999999998</v>
      </c>
      <c r="S22" s="17">
        <v>0.46</v>
      </c>
      <c r="T22" s="17">
        <v>20091231</v>
      </c>
      <c r="U22" s="17">
        <v>20190731</v>
      </c>
      <c r="V22" s="17">
        <v>116</v>
      </c>
    </row>
    <row r="23" spans="1:22">
      <c r="A23" s="17" t="s">
        <v>1142</v>
      </c>
      <c r="B23" s="38">
        <v>2.98E-2</v>
      </c>
      <c r="C23" s="38">
        <v>-8.3000000000000001E-3</v>
      </c>
      <c r="D23" s="38">
        <v>1.9099999999999999E-2</v>
      </c>
      <c r="E23" s="38">
        <v>2.0199999999999999E-2</v>
      </c>
      <c r="F23" s="38">
        <v>-7.7999999999999996E-3</v>
      </c>
      <c r="G23" s="38">
        <v>7.5300000000000006E-2</v>
      </c>
      <c r="H23" s="38">
        <v>1.09E-2</v>
      </c>
      <c r="I23" s="38">
        <v>6.6900000000000001E-2</v>
      </c>
      <c r="J23" s="38">
        <v>3.3500000000000002E-2</v>
      </c>
      <c r="K23" s="38">
        <v>2.2800000000000001E-2</v>
      </c>
      <c r="L23" s="38">
        <v>3.0599999999999999E-2</v>
      </c>
      <c r="M23" s="38">
        <v>2.7E-2</v>
      </c>
      <c r="N23" s="17">
        <v>1.22</v>
      </c>
      <c r="O23" s="38">
        <v>1.9E-3</v>
      </c>
      <c r="P23" s="17">
        <v>0.72</v>
      </c>
      <c r="Q23" s="17">
        <v>0.88</v>
      </c>
      <c r="R23" s="17">
        <v>0.999</v>
      </c>
      <c r="S23" s="17">
        <v>0.99</v>
      </c>
      <c r="T23" s="17">
        <v>20081231</v>
      </c>
      <c r="U23" s="17">
        <v>20190731</v>
      </c>
      <c r="V23" s="17">
        <v>128</v>
      </c>
    </row>
    <row r="24" spans="1:22">
      <c r="A24" s="17" t="s">
        <v>1143</v>
      </c>
      <c r="B24" s="38">
        <v>6.0199999999999997E-2</v>
      </c>
      <c r="C24" s="38">
        <v>7.9000000000000008E-3</v>
      </c>
      <c r="D24" s="38">
        <v>3.5099999999999999E-2</v>
      </c>
      <c r="E24" s="38">
        <v>3.5700000000000003E-2</v>
      </c>
      <c r="F24" s="38">
        <v>-1.32E-2</v>
      </c>
      <c r="G24" s="38">
        <v>9.7799999999999998E-2</v>
      </c>
      <c r="H24" s="38">
        <v>1.49E-2</v>
      </c>
      <c r="I24" s="38">
        <v>8.5199999999999998E-2</v>
      </c>
      <c r="J24" s="38">
        <v>4.1700000000000001E-2</v>
      </c>
      <c r="K24" s="38">
        <v>3.4799999999999998E-2</v>
      </c>
      <c r="L24" s="38">
        <v>2.8400000000000002E-2</v>
      </c>
      <c r="M24" s="38">
        <v>3.9E-2</v>
      </c>
      <c r="N24" s="17">
        <v>1.39</v>
      </c>
      <c r="O24" s="38">
        <v>2.5999999999999999E-3</v>
      </c>
      <c r="P24" s="17">
        <v>0.84</v>
      </c>
      <c r="Q24" s="17">
        <v>1.2</v>
      </c>
      <c r="R24" s="17">
        <v>0.999</v>
      </c>
      <c r="S24" s="17">
        <v>0.98</v>
      </c>
      <c r="T24" s="17">
        <v>20081231</v>
      </c>
      <c r="U24" s="17">
        <v>20190731</v>
      </c>
      <c r="V24" s="17">
        <v>128</v>
      </c>
    </row>
  </sheetData>
  <phoneticPr fontId="5" type="noConversion"/>
  <conditionalFormatting sqref="N2:N24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:M2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M3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:M4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M5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:M7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:M6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:M8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:M9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:M10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:M11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:M12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:M13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4:M14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5:M15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6:M1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7:M1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8:M18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9:M19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0:M20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1:M21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2:M22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3:M23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4:M24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:M24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2:O24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2:S2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workbookViewId="0">
      <selection activeCell="M3" sqref="M3"/>
    </sheetView>
  </sheetViews>
  <sheetFormatPr defaultRowHeight="14.25"/>
  <sheetData>
    <row r="1" spans="1:22">
      <c r="A1" s="17" t="s">
        <v>730</v>
      </c>
      <c r="B1" s="17" t="s">
        <v>999</v>
      </c>
      <c r="C1" s="17" t="s">
        <v>1000</v>
      </c>
      <c r="D1" s="17" t="s">
        <v>1001</v>
      </c>
      <c r="E1" s="17" t="s">
        <v>1002</v>
      </c>
      <c r="F1" s="17" t="s">
        <v>1003</v>
      </c>
      <c r="G1" s="17" t="s">
        <v>1004</v>
      </c>
      <c r="H1" s="17" t="s">
        <v>1005</v>
      </c>
      <c r="I1" s="17" t="s">
        <v>1006</v>
      </c>
      <c r="J1" s="17" t="s">
        <v>1007</v>
      </c>
      <c r="K1" s="17" t="s">
        <v>1008</v>
      </c>
      <c r="L1" s="17" t="s">
        <v>1009</v>
      </c>
      <c r="M1" s="17" t="s">
        <v>969</v>
      </c>
      <c r="N1" s="17" t="s">
        <v>970</v>
      </c>
      <c r="O1" s="17" t="s">
        <v>971</v>
      </c>
      <c r="P1" s="17" t="s">
        <v>972</v>
      </c>
      <c r="Q1" s="17" t="s">
        <v>973</v>
      </c>
      <c r="R1" s="17" t="s">
        <v>974</v>
      </c>
      <c r="S1" s="17" t="s">
        <v>975</v>
      </c>
      <c r="T1" s="17" t="s">
        <v>1010</v>
      </c>
      <c r="U1" s="17" t="s">
        <v>1011</v>
      </c>
      <c r="V1" s="17" t="s">
        <v>1012</v>
      </c>
    </row>
    <row r="2" spans="1:22">
      <c r="A2" s="17" t="s">
        <v>1121</v>
      </c>
      <c r="B2" s="17">
        <v>3.8100000000000002E-2</v>
      </c>
      <c r="C2" s="17">
        <v>2.52E-2</v>
      </c>
      <c r="D2" s="17">
        <v>2.7199999999999998E-2</v>
      </c>
      <c r="E2" s="17">
        <v>2.0400000000000001E-2</v>
      </c>
      <c r="F2" s="17">
        <v>4.5999999999999999E-3</v>
      </c>
      <c r="G2" s="17">
        <v>3.4099999999999998E-2</v>
      </c>
      <c r="H2" s="17">
        <v>2.9700000000000001E-2</v>
      </c>
      <c r="I2" s="17">
        <v>5.6300000000000003E-2</v>
      </c>
      <c r="J2" s="17">
        <v>5.1799999999999999E-2</v>
      </c>
      <c r="K2" s="17">
        <v>6.2799999999999995E-2</v>
      </c>
      <c r="L2" s="17">
        <v>9.2999999999999992E-3</v>
      </c>
      <c r="M2" s="17">
        <v>3.3000000000000002E-2</v>
      </c>
      <c r="N2" s="17">
        <v>1.93</v>
      </c>
      <c r="O2" s="17">
        <v>2.3E-3</v>
      </c>
      <c r="P2" s="17">
        <v>1.31</v>
      </c>
      <c r="Q2" s="17">
        <v>0.76</v>
      </c>
      <c r="R2" s="17">
        <v>0.86099999999999999</v>
      </c>
      <c r="S2" s="17">
        <v>0.94</v>
      </c>
      <c r="T2" s="17">
        <v>20081231</v>
      </c>
      <c r="U2" s="17">
        <v>20190731</v>
      </c>
      <c r="V2" s="17">
        <v>128</v>
      </c>
    </row>
    <row r="3" spans="1:22">
      <c r="A3" s="17" t="s">
        <v>1122</v>
      </c>
      <c r="B3" s="17">
        <v>6.6199999999999995E-2</v>
      </c>
      <c r="C3" s="17">
        <v>-1.17E-2</v>
      </c>
      <c r="D3" s="17">
        <v>3.5299999999999998E-2</v>
      </c>
      <c r="E3" s="17">
        <v>4.24E-2</v>
      </c>
      <c r="F3" s="34">
        <v>1E-4</v>
      </c>
      <c r="G3" s="17">
        <v>0.1263</v>
      </c>
      <c r="H3" s="17">
        <v>2.7400000000000001E-2</v>
      </c>
      <c r="I3" s="17">
        <v>0.107</v>
      </c>
      <c r="J3" s="17">
        <v>8.9999999999999993E-3</v>
      </c>
      <c r="K3" s="17">
        <v>2.5499999999999998E-2</v>
      </c>
      <c r="L3" s="17">
        <v>-2.6499999999999999E-2</v>
      </c>
      <c r="M3" s="17">
        <v>3.7999999999999999E-2</v>
      </c>
      <c r="N3" s="17">
        <v>1.1599999999999999</v>
      </c>
      <c r="O3" s="17">
        <v>2.3E-3</v>
      </c>
      <c r="P3" s="17">
        <v>0.66</v>
      </c>
      <c r="Q3" s="17">
        <v>0.68</v>
      </c>
      <c r="R3" s="17">
        <v>0.999</v>
      </c>
      <c r="S3" s="17">
        <v>0.97</v>
      </c>
      <c r="T3" s="17">
        <v>20081231</v>
      </c>
      <c r="U3" s="17">
        <v>20190731</v>
      </c>
      <c r="V3" s="17">
        <v>128</v>
      </c>
    </row>
    <row r="4" spans="1:22">
      <c r="A4" s="17" t="s">
        <v>1123</v>
      </c>
      <c r="B4" s="17">
        <v>0</v>
      </c>
      <c r="C4" s="17">
        <v>5.0000000000000001E-3</v>
      </c>
      <c r="D4" s="17">
        <v>7.2099999999999997E-2</v>
      </c>
      <c r="E4" s="17">
        <v>5.6399999999999999E-2</v>
      </c>
      <c r="F4" s="17">
        <v>3.8899999999999997E-2</v>
      </c>
      <c r="G4" s="17">
        <v>0.11360000000000001</v>
      </c>
      <c r="H4" s="17">
        <v>5.7799999999999997E-2</v>
      </c>
      <c r="I4" s="17">
        <v>0.12529999999999999</v>
      </c>
      <c r="J4" s="17">
        <v>2.5399999999999999E-2</v>
      </c>
      <c r="K4" s="17">
        <v>3.9399999999999998E-2</v>
      </c>
      <c r="L4" s="17">
        <v>-4.4000000000000003E-3</v>
      </c>
      <c r="M4" s="17">
        <v>5.5E-2</v>
      </c>
      <c r="N4" s="17">
        <v>2</v>
      </c>
      <c r="O4" s="17">
        <v>3.0000000000000001E-3</v>
      </c>
      <c r="P4" s="17">
        <v>1.06</v>
      </c>
      <c r="Q4" s="17">
        <v>0.97</v>
      </c>
      <c r="R4" s="17">
        <v>0.98499999999999999</v>
      </c>
      <c r="S4" s="17">
        <v>0.59</v>
      </c>
      <c r="T4" s="17">
        <v>20091231</v>
      </c>
      <c r="U4" s="17">
        <v>20190731</v>
      </c>
      <c r="V4" s="17">
        <v>116</v>
      </c>
    </row>
    <row r="5" spans="1:22">
      <c r="A5" s="17" t="s">
        <v>1124</v>
      </c>
      <c r="B5" s="17">
        <v>4.5100000000000001E-2</v>
      </c>
      <c r="C5" s="17">
        <v>2.92E-2</v>
      </c>
      <c r="D5" s="17">
        <v>3.4099999999999998E-2</v>
      </c>
      <c r="E5" s="17">
        <v>2.0400000000000001E-2</v>
      </c>
      <c r="F5" s="17">
        <v>1.1900000000000001E-2</v>
      </c>
      <c r="G5" s="17">
        <v>5.7000000000000002E-2</v>
      </c>
      <c r="H5" s="17">
        <v>2.52E-2</v>
      </c>
      <c r="I5" s="17">
        <v>8.0199999999999994E-2</v>
      </c>
      <c r="J5" s="17">
        <v>4.2700000000000002E-2</v>
      </c>
      <c r="K5" s="17">
        <v>4.8300000000000003E-2</v>
      </c>
      <c r="L5" s="17">
        <v>1.5299999999999999E-2</v>
      </c>
      <c r="M5" s="17">
        <v>3.7999999999999999E-2</v>
      </c>
      <c r="N5" s="17">
        <v>2.1</v>
      </c>
      <c r="O5" s="17">
        <v>2.3999999999999998E-3</v>
      </c>
      <c r="P5" s="17">
        <v>1.19</v>
      </c>
      <c r="Q5" s="17">
        <v>0.79</v>
      </c>
      <c r="R5" s="17">
        <v>0.87</v>
      </c>
      <c r="S5" s="17">
        <v>0.94</v>
      </c>
      <c r="T5" s="17">
        <v>20081231</v>
      </c>
      <c r="U5" s="17">
        <v>20190731</v>
      </c>
      <c r="V5" s="17">
        <v>128</v>
      </c>
    </row>
    <row r="6" spans="1:22">
      <c r="A6" s="17" t="s">
        <v>1125</v>
      </c>
      <c r="B6" s="17">
        <v>3.7699999999999997E-2</v>
      </c>
      <c r="C6" s="17">
        <v>1.7000000000000001E-2</v>
      </c>
      <c r="D6" s="17">
        <v>2.3099999999999999E-2</v>
      </c>
      <c r="E6" s="17">
        <v>9.4000000000000004E-3</v>
      </c>
      <c r="F6" s="17">
        <v>8.5000000000000006E-3</v>
      </c>
      <c r="G6" s="17">
        <v>4.5699999999999998E-2</v>
      </c>
      <c r="H6" s="17">
        <v>3.3599999999999998E-2</v>
      </c>
      <c r="I6" s="17">
        <v>7.3999999999999996E-2</v>
      </c>
      <c r="J6" s="17">
        <v>2.8899999999999999E-2</v>
      </c>
      <c r="K6" s="17">
        <v>3.8100000000000002E-2</v>
      </c>
      <c r="L6" s="17">
        <v>8.0000000000000002E-3</v>
      </c>
      <c r="M6" s="17">
        <v>0.03</v>
      </c>
      <c r="N6" s="17">
        <v>1.88</v>
      </c>
      <c r="O6" s="17">
        <v>1.2999999999999999E-3</v>
      </c>
      <c r="P6" s="17">
        <v>0.96</v>
      </c>
      <c r="Q6" s="17">
        <v>0.49</v>
      </c>
      <c r="R6" s="17">
        <v>0.999</v>
      </c>
      <c r="S6" s="17">
        <v>0.93</v>
      </c>
      <c r="T6" s="17">
        <v>20081231</v>
      </c>
      <c r="U6" s="17">
        <v>20190731</v>
      </c>
      <c r="V6" s="17">
        <v>128</v>
      </c>
    </row>
    <row r="7" spans="1:22">
      <c r="A7" s="17" t="s">
        <v>1126</v>
      </c>
      <c r="B7" s="17">
        <v>7.9699999999999993E-2</v>
      </c>
      <c r="C7" s="17">
        <v>-7.1000000000000004E-3</v>
      </c>
      <c r="D7" s="17">
        <v>4.2200000000000001E-2</v>
      </c>
      <c r="E7" s="17">
        <v>5.11E-2</v>
      </c>
      <c r="F7" s="34">
        <v>6.9999999999999999E-4</v>
      </c>
      <c r="G7" s="17">
        <v>0.12570000000000001</v>
      </c>
      <c r="H7" s="17">
        <v>3.78E-2</v>
      </c>
      <c r="I7" s="17">
        <v>0.1128</v>
      </c>
      <c r="J7" s="17">
        <v>2.01E-2</v>
      </c>
      <c r="K7" s="17">
        <v>2.1999999999999999E-2</v>
      </c>
      <c r="L7" s="17">
        <v>-3.6900000000000002E-2</v>
      </c>
      <c r="M7" s="17">
        <v>4.2999999999999997E-2</v>
      </c>
      <c r="N7" s="17">
        <v>1.29</v>
      </c>
      <c r="O7" s="17">
        <v>2.8E-3</v>
      </c>
      <c r="P7" s="17">
        <v>0.78</v>
      </c>
      <c r="Q7" s="17">
        <v>0.8</v>
      </c>
      <c r="R7" s="17">
        <v>0.999</v>
      </c>
      <c r="S7" s="17">
        <v>0.97</v>
      </c>
      <c r="T7" s="17">
        <v>20081231</v>
      </c>
      <c r="U7" s="17">
        <v>20190731</v>
      </c>
      <c r="V7" s="17">
        <v>128</v>
      </c>
    </row>
    <row r="8" spans="1:22">
      <c r="A8" s="17" t="s">
        <v>1127</v>
      </c>
      <c r="B8" s="17">
        <v>6.9199999999999998E-2</v>
      </c>
      <c r="C8" s="17">
        <v>4.8800000000000003E-2</v>
      </c>
      <c r="D8" s="17">
        <v>5.2699999999999997E-2</v>
      </c>
      <c r="E8" s="17">
        <v>7.5800000000000006E-2</v>
      </c>
      <c r="F8" s="17">
        <v>1.89E-2</v>
      </c>
      <c r="G8" s="17">
        <v>6.4699999999999994E-2</v>
      </c>
      <c r="H8" s="17">
        <v>8.1600000000000006E-2</v>
      </c>
      <c r="I8" s="17">
        <v>0.11459999999999999</v>
      </c>
      <c r="J8" s="17">
        <v>8.8599999999999998E-2</v>
      </c>
      <c r="K8" s="17">
        <v>2.5000000000000001E-3</v>
      </c>
      <c r="L8" s="17">
        <v>-4.07E-2</v>
      </c>
      <c r="M8" s="17">
        <v>5.5E-2</v>
      </c>
      <c r="N8" s="17">
        <v>2.0099999999999998</v>
      </c>
      <c r="O8" s="17">
        <v>4.1000000000000003E-3</v>
      </c>
      <c r="P8" s="17">
        <v>1.41</v>
      </c>
      <c r="Q8" s="17">
        <v>1.25</v>
      </c>
      <c r="R8" s="17">
        <v>0.999</v>
      </c>
      <c r="S8" s="17">
        <v>0.94</v>
      </c>
      <c r="T8" s="17">
        <v>20081231</v>
      </c>
      <c r="U8" s="17">
        <v>20190731</v>
      </c>
      <c r="V8" s="17">
        <v>128</v>
      </c>
    </row>
    <row r="9" spans="1:22">
      <c r="A9" s="17" t="s">
        <v>1128</v>
      </c>
      <c r="B9" s="17">
        <v>3.4599999999999999E-2</v>
      </c>
      <c r="C9" s="17">
        <v>-1.4999999999999999E-2</v>
      </c>
      <c r="D9" s="17">
        <v>1.3899999999999999E-2</v>
      </c>
      <c r="E9" s="17">
        <v>1.9E-2</v>
      </c>
      <c r="F9" s="17">
        <v>-2.0799999999999999E-2</v>
      </c>
      <c r="G9" s="17">
        <v>8.2299999999999998E-2</v>
      </c>
      <c r="H9" s="17">
        <v>1.7600000000000001E-2</v>
      </c>
      <c r="I9" s="17">
        <v>7.2400000000000006E-2</v>
      </c>
      <c r="J9" s="17">
        <v>3.3500000000000002E-2</v>
      </c>
      <c r="K9" s="17">
        <v>4.0000000000000001E-3</v>
      </c>
      <c r="L9" s="17">
        <v>-3.49E-2</v>
      </c>
      <c r="M9" s="17">
        <v>0.02</v>
      </c>
      <c r="N9" s="17">
        <v>0.77</v>
      </c>
      <c r="O9" s="17">
        <v>1.8E-3</v>
      </c>
      <c r="P9" s="17">
        <v>0.67</v>
      </c>
      <c r="Q9" s="17">
        <v>0.52</v>
      </c>
      <c r="R9" s="17">
        <v>0.999</v>
      </c>
      <c r="S9" s="17">
        <v>0.98</v>
      </c>
      <c r="T9" s="17">
        <v>20081231</v>
      </c>
      <c r="U9" s="17">
        <v>20190731</v>
      </c>
      <c r="V9" s="17">
        <v>128</v>
      </c>
    </row>
    <row r="10" spans="1:22">
      <c r="A10" s="17" t="s">
        <v>1129</v>
      </c>
      <c r="B10" s="17">
        <v>1.5599999999999999E-2</v>
      </c>
      <c r="C10" s="17">
        <v>2.81E-2</v>
      </c>
      <c r="D10" s="17">
        <v>2.0199999999999999E-2</v>
      </c>
      <c r="E10" s="17">
        <v>2.5999999999999999E-2</v>
      </c>
      <c r="F10" s="17">
        <v>2.4299999999999999E-2</v>
      </c>
      <c r="G10" s="17">
        <v>5.6599999999999998E-2</v>
      </c>
      <c r="H10" s="17">
        <v>5.4399999999999997E-2</v>
      </c>
      <c r="I10" s="17">
        <v>7.2900000000000006E-2</v>
      </c>
      <c r="J10" s="17">
        <v>5.2600000000000001E-2</v>
      </c>
      <c r="K10" s="17">
        <v>6.4899999999999999E-2</v>
      </c>
      <c r="L10" s="17">
        <v>1.6500000000000001E-2</v>
      </c>
      <c r="M10" s="17">
        <v>0.04</v>
      </c>
      <c r="N10" s="17">
        <v>2.2599999999999998</v>
      </c>
      <c r="O10" s="17">
        <v>2.2000000000000001E-3</v>
      </c>
      <c r="P10" s="17">
        <v>1.29</v>
      </c>
      <c r="Q10" s="17">
        <v>0.76</v>
      </c>
      <c r="R10" s="17">
        <v>0.999</v>
      </c>
      <c r="S10" s="17">
        <v>0.94</v>
      </c>
      <c r="T10" s="17">
        <v>20081231</v>
      </c>
      <c r="U10" s="17">
        <v>20190731</v>
      </c>
      <c r="V10" s="17">
        <v>128</v>
      </c>
    </row>
    <row r="11" spans="1:22">
      <c r="A11" s="17" t="s">
        <v>1130</v>
      </c>
      <c r="B11" s="17">
        <v>3.7499999999999999E-2</v>
      </c>
      <c r="C11" s="17">
        <v>3.1199999999999999E-2</v>
      </c>
      <c r="D11" s="17">
        <v>5.8700000000000002E-2</v>
      </c>
      <c r="E11" s="17">
        <v>6.5100000000000005E-2</v>
      </c>
      <c r="F11" s="17">
        <v>1.2500000000000001E-2</v>
      </c>
      <c r="G11" s="17">
        <v>5.4199999999999998E-2</v>
      </c>
      <c r="H11" s="17">
        <v>7.2999999999999995E-2</v>
      </c>
      <c r="I11" s="17">
        <v>9.6299999999999997E-2</v>
      </c>
      <c r="J11" s="17">
        <v>8.9099999999999999E-2</v>
      </c>
      <c r="K11" s="17">
        <v>3.7199999999999997E-2</v>
      </c>
      <c r="L11" s="17">
        <v>-1.5299999999999999E-2</v>
      </c>
      <c r="M11" s="17">
        <v>5.0999999999999997E-2</v>
      </c>
      <c r="N11" s="17">
        <v>1.96</v>
      </c>
      <c r="O11" s="17">
        <v>3.0999999999999999E-3</v>
      </c>
      <c r="P11" s="17">
        <v>1.21</v>
      </c>
      <c r="Q11" s="17">
        <v>0.99</v>
      </c>
      <c r="R11" s="17">
        <v>0.999</v>
      </c>
      <c r="S11" s="17">
        <v>0.95</v>
      </c>
      <c r="T11" s="17">
        <v>20081231</v>
      </c>
      <c r="U11" s="17">
        <v>20190731</v>
      </c>
      <c r="V11" s="17">
        <v>128</v>
      </c>
    </row>
    <row r="12" spans="1:22">
      <c r="A12" s="17" t="s">
        <v>1131</v>
      </c>
      <c r="B12" s="17">
        <v>8.1900000000000001E-2</v>
      </c>
      <c r="C12" s="17">
        <v>4.5400000000000003E-2</v>
      </c>
      <c r="D12" s="17">
        <v>5.6800000000000003E-2</v>
      </c>
      <c r="E12" s="17">
        <v>7.4800000000000005E-2</v>
      </c>
      <c r="F12" s="17">
        <v>1.32E-2</v>
      </c>
      <c r="G12" s="17">
        <v>7.2499999999999995E-2</v>
      </c>
      <c r="H12" s="17">
        <v>8.5199999999999998E-2</v>
      </c>
      <c r="I12" s="17">
        <v>0.10639999999999999</v>
      </c>
      <c r="J12" s="17">
        <v>9.06E-2</v>
      </c>
      <c r="K12" s="17">
        <v>-1.1999999999999999E-3</v>
      </c>
      <c r="L12" s="17">
        <v>-1.7600000000000001E-2</v>
      </c>
      <c r="M12" s="17">
        <v>5.8000000000000003E-2</v>
      </c>
      <c r="N12" s="17">
        <v>2.06</v>
      </c>
      <c r="O12" s="17">
        <v>4.1999999999999997E-3</v>
      </c>
      <c r="P12" s="17">
        <v>1.44</v>
      </c>
      <c r="Q12" s="17">
        <v>1.26</v>
      </c>
      <c r="R12" s="17">
        <v>0.90500000000000003</v>
      </c>
      <c r="S12" s="17">
        <v>0.94</v>
      </c>
      <c r="T12" s="17">
        <v>20081231</v>
      </c>
      <c r="U12" s="17">
        <v>20190731</v>
      </c>
      <c r="V12" s="17">
        <v>128</v>
      </c>
    </row>
    <row r="13" spans="1:22">
      <c r="A13" s="17" t="s">
        <v>1132</v>
      </c>
      <c r="B13" s="17">
        <v>7.7299999999999994E-2</v>
      </c>
      <c r="C13" s="17">
        <v>3.6799999999999999E-2</v>
      </c>
      <c r="D13" s="17">
        <v>6.0299999999999999E-2</v>
      </c>
      <c r="E13" s="17">
        <v>7.6399999999999996E-2</v>
      </c>
      <c r="F13" s="17">
        <v>1.18E-2</v>
      </c>
      <c r="G13" s="17">
        <v>7.0999999999999994E-2</v>
      </c>
      <c r="H13" s="17">
        <v>8.9399999999999993E-2</v>
      </c>
      <c r="I13" s="17">
        <v>0.1074</v>
      </c>
      <c r="J13" s="17">
        <v>8.5400000000000004E-2</v>
      </c>
      <c r="K13" s="17">
        <v>-2.5999999999999999E-3</v>
      </c>
      <c r="L13" s="17">
        <v>-9.2999999999999992E-3</v>
      </c>
      <c r="M13" s="17">
        <v>5.7000000000000002E-2</v>
      </c>
      <c r="N13" s="17">
        <v>2.09</v>
      </c>
      <c r="O13" s="17">
        <v>4.4000000000000003E-3</v>
      </c>
      <c r="P13" s="17">
        <v>1.48</v>
      </c>
      <c r="Q13" s="17">
        <v>1.28</v>
      </c>
      <c r="R13" s="17">
        <v>0.90500000000000003</v>
      </c>
      <c r="S13" s="17">
        <v>0.93</v>
      </c>
      <c r="T13" s="17">
        <v>20081231</v>
      </c>
      <c r="U13" s="17">
        <v>20190731</v>
      </c>
      <c r="V13" s="17">
        <v>128</v>
      </c>
    </row>
    <row r="14" spans="1:22">
      <c r="A14" s="17" t="s">
        <v>1133</v>
      </c>
      <c r="B14" s="17">
        <v>3.39E-2</v>
      </c>
      <c r="C14" s="17">
        <v>4.1700000000000001E-2</v>
      </c>
      <c r="D14" s="17">
        <v>5.4600000000000003E-2</v>
      </c>
      <c r="E14" s="17">
        <v>6.4100000000000004E-2</v>
      </c>
      <c r="F14" s="17">
        <v>1.7299999999999999E-2</v>
      </c>
      <c r="G14" s="17">
        <v>4.2799999999999998E-2</v>
      </c>
      <c r="H14" s="17">
        <v>6.5500000000000003E-2</v>
      </c>
      <c r="I14" s="17">
        <v>8.9800000000000005E-2</v>
      </c>
      <c r="J14" s="17">
        <v>9.4700000000000006E-2</v>
      </c>
      <c r="K14" s="17">
        <v>3.6299999999999999E-2</v>
      </c>
      <c r="L14" s="17">
        <v>-1.44E-2</v>
      </c>
      <c r="M14" s="17">
        <v>0.05</v>
      </c>
      <c r="N14" s="17">
        <v>1.93</v>
      </c>
      <c r="O14" s="17">
        <v>3.2000000000000002E-3</v>
      </c>
      <c r="P14" s="17">
        <v>1.28</v>
      </c>
      <c r="Q14" s="17">
        <v>1.02</v>
      </c>
      <c r="R14" s="17">
        <v>0.97099999999999997</v>
      </c>
      <c r="S14" s="17">
        <v>0.96</v>
      </c>
      <c r="T14" s="17">
        <v>20081231</v>
      </c>
      <c r="U14" s="17">
        <v>20190731</v>
      </c>
      <c r="V14" s="17">
        <v>128</v>
      </c>
    </row>
    <row r="15" spans="1:22">
      <c r="A15" s="17" t="s">
        <v>1134</v>
      </c>
      <c r="B15" s="17">
        <v>4.8300000000000003E-2</v>
      </c>
      <c r="C15" s="17">
        <v>-1.8800000000000001E-2</v>
      </c>
      <c r="D15" s="17">
        <v>3.1199999999999999E-2</v>
      </c>
      <c r="E15" s="17">
        <v>3.1399999999999997E-2</v>
      </c>
      <c r="F15" s="17">
        <v>-8.6999999999999994E-3</v>
      </c>
      <c r="G15" s="17">
        <v>0.1195</v>
      </c>
      <c r="H15" s="17">
        <v>-5.0000000000000001E-3</v>
      </c>
      <c r="I15" s="17">
        <v>0.1008</v>
      </c>
      <c r="J15" s="17">
        <v>8.5000000000000006E-3</v>
      </c>
      <c r="K15" s="17">
        <v>2.7400000000000001E-2</v>
      </c>
      <c r="L15" s="17">
        <v>-2.41E-2</v>
      </c>
      <c r="M15" s="17">
        <v>0.03</v>
      </c>
      <c r="N15" s="17">
        <v>0.91</v>
      </c>
      <c r="O15" s="17">
        <v>1.6999999999999999E-3</v>
      </c>
      <c r="P15" s="17">
        <v>0.46</v>
      </c>
      <c r="Q15" s="17">
        <v>0.49</v>
      </c>
      <c r="R15" s="17">
        <v>0.999</v>
      </c>
      <c r="S15" s="17">
        <v>0.97</v>
      </c>
      <c r="T15" s="17">
        <v>20081231</v>
      </c>
      <c r="U15" s="17">
        <v>20190731</v>
      </c>
      <c r="V15" s="17">
        <v>128</v>
      </c>
    </row>
    <row r="16" spans="1:22">
      <c r="A16" s="17" t="s">
        <v>1135</v>
      </c>
      <c r="B16" s="17">
        <v>3.6900000000000002E-2</v>
      </c>
      <c r="C16" s="17">
        <v>3.2399999999999998E-2</v>
      </c>
      <c r="D16" s="17">
        <v>6.4600000000000005E-2</v>
      </c>
      <c r="E16" s="17">
        <v>7.1400000000000005E-2</v>
      </c>
      <c r="F16" s="17">
        <v>2.1499999999999998E-2</v>
      </c>
      <c r="G16" s="17">
        <v>4.2099999999999999E-2</v>
      </c>
      <c r="H16" s="17">
        <v>7.22E-2</v>
      </c>
      <c r="I16" s="17">
        <v>9.7199999999999995E-2</v>
      </c>
      <c r="J16" s="17">
        <v>9.9599999999999994E-2</v>
      </c>
      <c r="K16" s="17">
        <v>4.7300000000000002E-2</v>
      </c>
      <c r="L16" s="17">
        <v>-6.3E-3</v>
      </c>
      <c r="M16" s="17">
        <v>5.3999999999999999E-2</v>
      </c>
      <c r="N16" s="17">
        <v>2.08</v>
      </c>
      <c r="O16" s="17">
        <v>3.2000000000000002E-3</v>
      </c>
      <c r="P16" s="17">
        <v>1.25</v>
      </c>
      <c r="Q16" s="17">
        <v>1.0900000000000001</v>
      </c>
      <c r="R16" s="17">
        <v>0.97899999999999998</v>
      </c>
      <c r="S16" s="17">
        <v>0.95</v>
      </c>
      <c r="T16" s="17">
        <v>20081231</v>
      </c>
      <c r="U16" s="17">
        <v>20190731</v>
      </c>
      <c r="V16" s="17">
        <v>128</v>
      </c>
    </row>
    <row r="17" spans="1:22">
      <c r="A17" s="17" t="s">
        <v>1136</v>
      </c>
      <c r="B17" s="17">
        <v>3.1699999999999999E-2</v>
      </c>
      <c r="C17" s="17">
        <v>-9.4999999999999998E-3</v>
      </c>
      <c r="D17" s="17">
        <v>1.6500000000000001E-2</v>
      </c>
      <c r="E17" s="17">
        <v>1.8800000000000001E-2</v>
      </c>
      <c r="F17" s="17">
        <v>-1.54E-2</v>
      </c>
      <c r="G17" s="17">
        <v>7.5300000000000006E-2</v>
      </c>
      <c r="H17" s="17">
        <v>2.01E-2</v>
      </c>
      <c r="I17" s="17">
        <v>7.4499999999999997E-2</v>
      </c>
      <c r="J17" s="17">
        <v>3.78E-2</v>
      </c>
      <c r="K17" s="17">
        <v>1.5900000000000001E-2</v>
      </c>
      <c r="L17" s="17">
        <v>-2.3800000000000002E-2</v>
      </c>
      <c r="M17" s="17">
        <v>2.3E-2</v>
      </c>
      <c r="N17" s="17">
        <v>0.91</v>
      </c>
      <c r="O17" s="17">
        <v>1.6999999999999999E-3</v>
      </c>
      <c r="P17" s="17">
        <v>0.69</v>
      </c>
      <c r="Q17" s="17">
        <v>0.52</v>
      </c>
      <c r="R17" s="17">
        <v>0.999</v>
      </c>
      <c r="S17" s="17">
        <v>0.99</v>
      </c>
      <c r="T17" s="17">
        <v>20081231</v>
      </c>
      <c r="U17" s="17">
        <v>20190731</v>
      </c>
      <c r="V17" s="17">
        <v>128</v>
      </c>
    </row>
    <row r="18" spans="1:22">
      <c r="A18" s="17" t="s">
        <v>1137</v>
      </c>
      <c r="B18" s="17">
        <v>4.9299999999999997E-2</v>
      </c>
      <c r="C18" s="17">
        <v>-7.7999999999999996E-3</v>
      </c>
      <c r="D18" s="17">
        <v>1.9300000000000001E-2</v>
      </c>
      <c r="E18" s="17">
        <v>1.84E-2</v>
      </c>
      <c r="F18" s="17">
        <v>-1.2200000000000001E-2</v>
      </c>
      <c r="G18" s="17">
        <v>6.3600000000000004E-2</v>
      </c>
      <c r="H18" s="17">
        <v>1.66E-2</v>
      </c>
      <c r="I18" s="17">
        <v>6.6500000000000004E-2</v>
      </c>
      <c r="J18" s="17">
        <v>3.44E-2</v>
      </c>
      <c r="K18" s="17">
        <v>-4.7000000000000002E-3</v>
      </c>
      <c r="L18" s="17">
        <v>-2.12E-2</v>
      </c>
      <c r="M18" s="17">
        <v>2.1000000000000001E-2</v>
      </c>
      <c r="N18" s="17">
        <v>0.86</v>
      </c>
      <c r="O18" s="17">
        <v>1.6999999999999999E-3</v>
      </c>
      <c r="P18" s="17">
        <v>0.71</v>
      </c>
      <c r="Q18" s="17">
        <v>0.49</v>
      </c>
      <c r="R18" s="17">
        <v>0.90700000000000003</v>
      </c>
      <c r="S18" s="17">
        <v>0.98</v>
      </c>
      <c r="T18" s="17">
        <v>20081231</v>
      </c>
      <c r="U18" s="17">
        <v>20190731</v>
      </c>
      <c r="V18" s="17">
        <v>128</v>
      </c>
    </row>
    <row r="19" spans="1:22">
      <c r="A19" s="17" t="s">
        <v>1138</v>
      </c>
      <c r="B19" s="17">
        <v>0</v>
      </c>
      <c r="C19" s="17">
        <v>1.9400000000000001E-2</v>
      </c>
      <c r="D19" s="17">
        <v>4.9200000000000001E-2</v>
      </c>
      <c r="E19" s="17">
        <v>4.1700000000000001E-2</v>
      </c>
      <c r="F19" s="17">
        <v>4.8399999999999999E-2</v>
      </c>
      <c r="G19" s="17">
        <v>6.4000000000000001E-2</v>
      </c>
      <c r="H19" s="17">
        <v>5.0799999999999998E-2</v>
      </c>
      <c r="I19" s="17">
        <v>8.5300000000000001E-2</v>
      </c>
      <c r="J19" s="17">
        <v>2.58E-2</v>
      </c>
      <c r="K19" s="17">
        <v>2.9899999999999999E-2</v>
      </c>
      <c r="L19" s="17">
        <v>-1.1000000000000001E-3</v>
      </c>
      <c r="M19" s="17">
        <v>4.2999999999999997E-2</v>
      </c>
      <c r="N19" s="17">
        <v>2.12</v>
      </c>
      <c r="O19" s="17">
        <v>2.5999999999999999E-3</v>
      </c>
      <c r="P19" s="17">
        <v>1.21</v>
      </c>
      <c r="Q19" s="17">
        <v>0.88</v>
      </c>
      <c r="R19" s="17">
        <v>0.90900000000000003</v>
      </c>
      <c r="S19" s="17">
        <v>0.41</v>
      </c>
      <c r="T19" s="17">
        <v>20091231</v>
      </c>
      <c r="U19" s="17">
        <v>20190731</v>
      </c>
      <c r="V19" s="17">
        <v>116</v>
      </c>
    </row>
    <row r="20" spans="1:22">
      <c r="A20" s="17" t="s">
        <v>1139</v>
      </c>
      <c r="B20" s="17">
        <v>5.0099999999999999E-2</v>
      </c>
      <c r="C20" s="17">
        <v>-4.7999999999999996E-3</v>
      </c>
      <c r="D20" s="17">
        <v>2.06E-2</v>
      </c>
      <c r="E20" s="17">
        <v>2.06E-2</v>
      </c>
      <c r="F20" s="17">
        <v>-8.9999999999999993E-3</v>
      </c>
      <c r="G20" s="17">
        <v>6.1499999999999999E-2</v>
      </c>
      <c r="H20" s="17">
        <v>2.01E-2</v>
      </c>
      <c r="I20" s="17">
        <v>6.4600000000000005E-2</v>
      </c>
      <c r="J20" s="17">
        <v>3.4799999999999998E-2</v>
      </c>
      <c r="K20" s="17">
        <v>-6.7999999999999996E-3</v>
      </c>
      <c r="L20" s="17">
        <v>-1.6500000000000001E-2</v>
      </c>
      <c r="M20" s="17">
        <v>2.3E-2</v>
      </c>
      <c r="N20" s="17">
        <v>0.93</v>
      </c>
      <c r="O20" s="17">
        <v>1.6999999999999999E-3</v>
      </c>
      <c r="P20" s="17">
        <v>0.77</v>
      </c>
      <c r="Q20" s="17">
        <v>0.52</v>
      </c>
      <c r="R20" s="17">
        <v>0.90700000000000003</v>
      </c>
      <c r="S20" s="17">
        <v>0.98</v>
      </c>
      <c r="T20" s="17">
        <v>20081231</v>
      </c>
      <c r="U20" s="17">
        <v>20190731</v>
      </c>
      <c r="V20" s="17">
        <v>128</v>
      </c>
    </row>
    <row r="21" spans="1:22">
      <c r="A21" s="17" t="s">
        <v>1140</v>
      </c>
      <c r="B21" s="17">
        <v>3.15E-2</v>
      </c>
      <c r="C21" s="17">
        <v>-9.7999999999999997E-3</v>
      </c>
      <c r="D21" s="17">
        <v>1.6299999999999999E-2</v>
      </c>
      <c r="E21" s="17">
        <v>1.8700000000000001E-2</v>
      </c>
      <c r="F21" s="17">
        <v>-1.5800000000000002E-2</v>
      </c>
      <c r="G21" s="17">
        <v>7.6300000000000007E-2</v>
      </c>
      <c r="H21" s="17">
        <v>2.0500000000000001E-2</v>
      </c>
      <c r="I21" s="17">
        <v>7.4499999999999997E-2</v>
      </c>
      <c r="J21" s="17">
        <v>3.5799999999999998E-2</v>
      </c>
      <c r="K21" s="17">
        <v>1.41E-2</v>
      </c>
      <c r="L21" s="17">
        <v>-2.5899999999999999E-2</v>
      </c>
      <c r="M21" s="17">
        <v>2.3E-2</v>
      </c>
      <c r="N21" s="17">
        <v>0.89</v>
      </c>
      <c r="O21" s="17">
        <v>1.6000000000000001E-3</v>
      </c>
      <c r="P21" s="17">
        <v>0.68</v>
      </c>
      <c r="Q21" s="17">
        <v>0.51</v>
      </c>
      <c r="R21" s="17">
        <v>0.999</v>
      </c>
      <c r="S21" s="17">
        <v>0.99</v>
      </c>
      <c r="T21" s="17">
        <v>20081231</v>
      </c>
      <c r="U21" s="17">
        <v>20190731</v>
      </c>
      <c r="V21" s="17">
        <v>128</v>
      </c>
    </row>
    <row r="22" spans="1:22">
      <c r="A22" s="17" t="s">
        <v>1141</v>
      </c>
      <c r="B22" s="17">
        <v>0</v>
      </c>
      <c r="C22" s="17">
        <v>1.35E-2</v>
      </c>
      <c r="D22" s="17">
        <v>6.5699999999999995E-2</v>
      </c>
      <c r="E22" s="17">
        <v>4.0399999999999998E-2</v>
      </c>
      <c r="F22" s="17">
        <v>3.73E-2</v>
      </c>
      <c r="G22" s="17">
        <v>7.2599999999999998E-2</v>
      </c>
      <c r="H22" s="17">
        <v>4.6399999999999997E-2</v>
      </c>
      <c r="I22" s="17">
        <v>9.9500000000000005E-2</v>
      </c>
      <c r="J22" s="17">
        <v>3.44E-2</v>
      </c>
      <c r="K22" s="17">
        <v>4.4900000000000002E-2</v>
      </c>
      <c r="L22" s="17">
        <v>-6.1000000000000004E-3</v>
      </c>
      <c r="M22" s="17">
        <v>4.7E-2</v>
      </c>
      <c r="N22" s="17">
        <v>2.15</v>
      </c>
      <c r="O22" s="17">
        <v>2.8E-3</v>
      </c>
      <c r="P22" s="17">
        <v>1.23</v>
      </c>
      <c r="Q22" s="17">
        <v>0.96</v>
      </c>
      <c r="R22" s="17">
        <v>0.98499999999999999</v>
      </c>
      <c r="S22" s="17">
        <v>0.46</v>
      </c>
      <c r="T22" s="17">
        <v>20091231</v>
      </c>
      <c r="U22" s="17">
        <v>20190731</v>
      </c>
      <c r="V22" s="17">
        <v>116</v>
      </c>
    </row>
    <row r="23" spans="1:22">
      <c r="A23" s="17" t="s">
        <v>1142</v>
      </c>
      <c r="B23" s="17">
        <v>2.93E-2</v>
      </c>
      <c r="C23" s="17">
        <v>-1.7899999999999999E-2</v>
      </c>
      <c r="D23" s="17">
        <v>1.2E-2</v>
      </c>
      <c r="E23" s="17">
        <v>1.8200000000000001E-2</v>
      </c>
      <c r="F23" s="17">
        <v>-2.2800000000000001E-2</v>
      </c>
      <c r="G23" s="17">
        <v>8.8900000000000007E-2</v>
      </c>
      <c r="H23" s="17">
        <v>1.7000000000000001E-2</v>
      </c>
      <c r="I23" s="17">
        <v>7.5899999999999995E-2</v>
      </c>
      <c r="J23" s="17">
        <v>3.1699999999999999E-2</v>
      </c>
      <c r="K23" s="17">
        <v>1.35E-2</v>
      </c>
      <c r="L23" s="17">
        <v>-2.6100000000000002E-2</v>
      </c>
      <c r="M23" s="17">
        <v>2.1000000000000001E-2</v>
      </c>
      <c r="N23" s="17">
        <v>0.79</v>
      </c>
      <c r="O23" s="17">
        <v>1.6999999999999999E-3</v>
      </c>
      <c r="P23" s="17">
        <v>0.63</v>
      </c>
      <c r="Q23" s="17">
        <v>0.5</v>
      </c>
      <c r="R23" s="17">
        <v>0.999</v>
      </c>
      <c r="S23" s="17">
        <v>0.99</v>
      </c>
      <c r="T23" s="17">
        <v>20081231</v>
      </c>
      <c r="U23" s="17">
        <v>20190731</v>
      </c>
      <c r="V23" s="17">
        <v>128</v>
      </c>
    </row>
    <row r="24" spans="1:22">
      <c r="A24" s="17" t="s">
        <v>1143</v>
      </c>
      <c r="B24" s="17">
        <v>6.6699999999999995E-2</v>
      </c>
      <c r="C24" s="17">
        <v>5.8999999999999999E-3</v>
      </c>
      <c r="D24" s="17">
        <v>3.15E-2</v>
      </c>
      <c r="E24" s="17">
        <v>3.2899999999999999E-2</v>
      </c>
      <c r="F24" s="17">
        <v>-2.7300000000000001E-2</v>
      </c>
      <c r="G24" s="17">
        <v>0.1139</v>
      </c>
      <c r="H24" s="17">
        <v>1.9800000000000002E-2</v>
      </c>
      <c r="I24" s="17">
        <v>8.8700000000000001E-2</v>
      </c>
      <c r="J24" s="17">
        <v>1.5800000000000002E-2</v>
      </c>
      <c r="K24" s="17">
        <v>1.2800000000000001E-2</v>
      </c>
      <c r="L24" s="17">
        <v>-3.56E-2</v>
      </c>
      <c r="M24" s="17">
        <v>3.2000000000000001E-2</v>
      </c>
      <c r="N24" s="17">
        <v>0.95</v>
      </c>
      <c r="O24" s="17">
        <v>2.3E-3</v>
      </c>
      <c r="P24" s="17">
        <v>0.79</v>
      </c>
      <c r="Q24" s="17">
        <v>0.72</v>
      </c>
      <c r="R24" s="17">
        <v>0.999</v>
      </c>
      <c r="S24" s="17">
        <v>0.98</v>
      </c>
      <c r="T24" s="17">
        <v>20081231</v>
      </c>
      <c r="U24" s="17">
        <v>20190731</v>
      </c>
      <c r="V24" s="17">
        <v>128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133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147" sqref="C147"/>
    </sheetView>
  </sheetViews>
  <sheetFormatPr defaultRowHeight="14.25"/>
  <cols>
    <col min="1" max="1" width="22.75" bestFit="1" customWidth="1"/>
    <col min="2" max="13" width="9" style="35"/>
    <col min="15" max="15" width="9" style="35"/>
  </cols>
  <sheetData>
    <row r="1" spans="1:22">
      <c r="A1" s="17" t="s">
        <v>730</v>
      </c>
      <c r="B1" s="38" t="s">
        <v>999</v>
      </c>
      <c r="C1" s="38" t="s">
        <v>1000</v>
      </c>
      <c r="D1" s="38" t="s">
        <v>1001</v>
      </c>
      <c r="E1" s="38" t="s">
        <v>1002</v>
      </c>
      <c r="F1" s="38" t="s">
        <v>1003</v>
      </c>
      <c r="G1" s="38" t="s">
        <v>1004</v>
      </c>
      <c r="H1" s="38" t="s">
        <v>1005</v>
      </c>
      <c r="I1" s="38" t="s">
        <v>1006</v>
      </c>
      <c r="J1" s="38" t="s">
        <v>1007</v>
      </c>
      <c r="K1" s="38" t="s">
        <v>1008</v>
      </c>
      <c r="L1" s="38" t="s">
        <v>1009</v>
      </c>
      <c r="M1" s="38" t="s">
        <v>969</v>
      </c>
      <c r="N1" s="17" t="s">
        <v>970</v>
      </c>
      <c r="O1" s="17" t="s">
        <v>971</v>
      </c>
      <c r="P1" s="17" t="s">
        <v>972</v>
      </c>
      <c r="Q1" s="17" t="s">
        <v>973</v>
      </c>
      <c r="R1" s="17" t="s">
        <v>974</v>
      </c>
      <c r="S1" s="17" t="s">
        <v>975</v>
      </c>
      <c r="T1" s="17" t="s">
        <v>1010</v>
      </c>
      <c r="U1" s="17" t="s">
        <v>1011</v>
      </c>
      <c r="V1" s="17" t="s">
        <v>1012</v>
      </c>
    </row>
    <row r="2" spans="1:22" hidden="1">
      <c r="A2" s="17" t="s">
        <v>1471</v>
      </c>
      <c r="B2" s="38">
        <v>-4.0599999999999997E-2</v>
      </c>
      <c r="C2" s="38">
        <v>-1.29E-2</v>
      </c>
      <c r="D2" s="38">
        <v>-1.7100000000000001E-2</v>
      </c>
      <c r="E2" s="38">
        <v>-1.18E-2</v>
      </c>
      <c r="F2" s="38">
        <v>1.4200000000000001E-2</v>
      </c>
      <c r="G2" s="38">
        <v>-3.6400000000000002E-2</v>
      </c>
      <c r="H2" s="38">
        <v>-4.6199999999999998E-2</v>
      </c>
      <c r="I2" s="38">
        <v>-1.8200000000000001E-2</v>
      </c>
      <c r="J2" s="38">
        <v>3.9899999999999998E-2</v>
      </c>
      <c r="K2" s="38">
        <v>1.8800000000000001E-2</v>
      </c>
      <c r="L2" s="38">
        <v>3.1E-2</v>
      </c>
      <c r="M2" s="38">
        <v>-8.0000000000000002E-3</v>
      </c>
      <c r="N2" s="17">
        <v>-0.39</v>
      </c>
      <c r="O2" s="34">
        <v>5.9999999999999995E-4</v>
      </c>
      <c r="P2" s="17">
        <v>0.52</v>
      </c>
      <c r="Q2" s="17">
        <v>0.32</v>
      </c>
      <c r="R2" s="17">
        <v>0.95599999999999996</v>
      </c>
      <c r="S2" s="17">
        <v>0.98</v>
      </c>
      <c r="T2" s="17">
        <v>20081231</v>
      </c>
      <c r="U2" s="17">
        <v>20190731</v>
      </c>
      <c r="V2" s="17">
        <v>128</v>
      </c>
    </row>
    <row r="3" spans="1:22" hidden="1">
      <c r="A3" s="17" t="s">
        <v>1472</v>
      </c>
      <c r="B3" s="38">
        <v>-2.24E-2</v>
      </c>
      <c r="C3" s="38">
        <v>-1.5E-3</v>
      </c>
      <c r="D3" s="38">
        <v>1.2200000000000001E-2</v>
      </c>
      <c r="E3" s="38">
        <v>1.61E-2</v>
      </c>
      <c r="F3" s="38">
        <v>3.3099999999999997E-2</v>
      </c>
      <c r="G3" s="38">
        <v>-6.1999999999999998E-3</v>
      </c>
      <c r="H3" s="38">
        <v>-1.32E-2</v>
      </c>
      <c r="I3" s="38">
        <v>3.5099999999999999E-2</v>
      </c>
      <c r="J3" s="38">
        <v>6.9000000000000006E-2</v>
      </c>
      <c r="K3" s="38">
        <v>3.0800000000000001E-2</v>
      </c>
      <c r="L3" s="38">
        <v>4.0899999999999999E-2</v>
      </c>
      <c r="M3" s="38">
        <v>1.7000000000000001E-2</v>
      </c>
      <c r="N3" s="17">
        <v>0.82</v>
      </c>
      <c r="O3" s="17">
        <v>2E-3</v>
      </c>
      <c r="P3" s="17">
        <v>1.56</v>
      </c>
      <c r="Q3" s="17">
        <v>1.17</v>
      </c>
      <c r="R3" s="17">
        <v>0.95</v>
      </c>
      <c r="S3" s="17">
        <v>0.87</v>
      </c>
      <c r="T3" s="17">
        <v>20081231</v>
      </c>
      <c r="U3" s="17">
        <v>20190731</v>
      </c>
      <c r="V3" s="17">
        <v>128</v>
      </c>
    </row>
    <row r="4" spans="1:22" hidden="1">
      <c r="A4" s="17" t="s">
        <v>1473</v>
      </c>
      <c r="B4" s="38">
        <v>-5.5800000000000002E-2</v>
      </c>
      <c r="C4" s="38">
        <v>-1.8599999999999998E-2</v>
      </c>
      <c r="D4" s="38">
        <v>-1.6299999999999999E-2</v>
      </c>
      <c r="E4" s="38">
        <v>-1.83E-2</v>
      </c>
      <c r="F4" s="38">
        <v>1.5599999999999999E-2</v>
      </c>
      <c r="G4" s="38">
        <v>-4.5699999999999998E-2</v>
      </c>
      <c r="H4" s="38">
        <v>-5.0099999999999999E-2</v>
      </c>
      <c r="I4" s="38">
        <v>-5.5899999999999998E-2</v>
      </c>
      <c r="J4" s="38">
        <v>3.5700000000000003E-2</v>
      </c>
      <c r="K4" s="38">
        <v>1.6299999999999999E-2</v>
      </c>
      <c r="L4" s="38">
        <v>1.6E-2</v>
      </c>
      <c r="M4" s="38">
        <v>-1.7000000000000001E-2</v>
      </c>
      <c r="N4" s="17">
        <v>-0.76</v>
      </c>
      <c r="O4" s="34">
        <v>2.0000000000000001E-4</v>
      </c>
      <c r="P4" s="17">
        <v>0.15</v>
      </c>
      <c r="Q4" s="17">
        <v>0.1</v>
      </c>
      <c r="R4" s="17">
        <v>0.94699999999999995</v>
      </c>
      <c r="S4" s="17">
        <v>0.99</v>
      </c>
      <c r="T4" s="17">
        <v>20081231</v>
      </c>
      <c r="U4" s="17">
        <v>20190731</v>
      </c>
      <c r="V4" s="17">
        <v>128</v>
      </c>
    </row>
    <row r="5" spans="1:22" hidden="1">
      <c r="A5" s="17" t="s">
        <v>1474</v>
      </c>
      <c r="B5" s="38">
        <v>-3.4099999999999998E-2</v>
      </c>
      <c r="C5" s="38">
        <v>-1.3599999999999999E-2</v>
      </c>
      <c r="D5" s="38">
        <v>-3.0999999999999999E-3</v>
      </c>
      <c r="E5" s="38">
        <v>1.04E-2</v>
      </c>
      <c r="F5" s="38">
        <v>2.3599999999999999E-2</v>
      </c>
      <c r="G5" s="38">
        <v>-2.23E-2</v>
      </c>
      <c r="H5" s="38">
        <v>-3.15E-2</v>
      </c>
      <c r="I5" s="38">
        <v>2.3300000000000001E-2</v>
      </c>
      <c r="J5" s="38">
        <v>5.7799999999999997E-2</v>
      </c>
      <c r="K5" s="38">
        <v>2.6599999999999999E-2</v>
      </c>
      <c r="L5" s="38">
        <v>3.1399999999999997E-2</v>
      </c>
      <c r="M5" s="38">
        <v>5.0000000000000001E-3</v>
      </c>
      <c r="N5" s="17">
        <v>0.25</v>
      </c>
      <c r="O5" s="17">
        <v>1.2999999999999999E-3</v>
      </c>
      <c r="P5" s="17">
        <v>1.0900000000000001</v>
      </c>
      <c r="Q5" s="17">
        <v>0.77</v>
      </c>
      <c r="R5" s="17">
        <v>0.94799999999999995</v>
      </c>
      <c r="S5" s="17">
        <v>0.96</v>
      </c>
      <c r="T5" s="17">
        <v>20081231</v>
      </c>
      <c r="U5" s="17">
        <v>20190731</v>
      </c>
      <c r="V5" s="17">
        <v>128</v>
      </c>
    </row>
    <row r="6" spans="1:22" hidden="1">
      <c r="A6" s="17" t="s">
        <v>1475</v>
      </c>
      <c r="B6" s="38">
        <v>-3.8800000000000001E-2</v>
      </c>
      <c r="C6" s="38">
        <v>-1.26E-2</v>
      </c>
      <c r="D6" s="38">
        <v>-1.2699999999999999E-2</v>
      </c>
      <c r="E6" s="38">
        <v>-3.0000000000000001E-3</v>
      </c>
      <c r="F6" s="38">
        <v>1.44E-2</v>
      </c>
      <c r="G6" s="38">
        <v>-3.39E-2</v>
      </c>
      <c r="H6" s="38">
        <v>-4.1099999999999998E-2</v>
      </c>
      <c r="I6" s="38">
        <v>1.6199999999999999E-2</v>
      </c>
      <c r="J6" s="38">
        <v>4.8300000000000003E-2</v>
      </c>
      <c r="K6" s="38">
        <v>2.1000000000000001E-2</v>
      </c>
      <c r="L6" s="38">
        <v>3.6200000000000003E-2</v>
      </c>
      <c r="M6" s="38">
        <v>-2E-3</v>
      </c>
      <c r="N6" s="17">
        <v>-0.08</v>
      </c>
      <c r="O6" s="34">
        <v>8.0000000000000004E-4</v>
      </c>
      <c r="P6" s="17">
        <v>0.75</v>
      </c>
      <c r="Q6" s="17">
        <v>0.5</v>
      </c>
      <c r="R6" s="17">
        <v>0.94599999999999995</v>
      </c>
      <c r="S6" s="17">
        <v>0.98</v>
      </c>
      <c r="T6" s="17">
        <v>20081231</v>
      </c>
      <c r="U6" s="17">
        <v>20190731</v>
      </c>
      <c r="V6" s="17">
        <v>128</v>
      </c>
    </row>
    <row r="7" spans="1:22" hidden="1">
      <c r="A7" s="17" t="s">
        <v>1476</v>
      </c>
      <c r="B7" s="38">
        <v>1.3599999999999999E-2</v>
      </c>
      <c r="C7" s="38">
        <v>8.8999999999999999E-3</v>
      </c>
      <c r="D7" s="38">
        <v>2.23E-2</v>
      </c>
      <c r="E7" s="38">
        <v>2.92E-2</v>
      </c>
      <c r="F7" s="38">
        <v>4.9799999999999997E-2</v>
      </c>
      <c r="G7" s="38">
        <v>8.9999999999999993E-3</v>
      </c>
      <c r="H7" s="38">
        <v>7.1999999999999998E-3</v>
      </c>
      <c r="I7" s="38">
        <v>2.8999999999999998E-3</v>
      </c>
      <c r="J7" s="38">
        <v>4.8300000000000003E-2</v>
      </c>
      <c r="K7" s="38">
        <v>3.2099999999999997E-2</v>
      </c>
      <c r="L7" s="38">
        <v>3.5999999999999997E-2</v>
      </c>
      <c r="M7" s="38">
        <v>2.3E-2</v>
      </c>
      <c r="N7" s="17">
        <v>1.91</v>
      </c>
      <c r="O7" s="17">
        <v>1.6999999999999999E-3</v>
      </c>
      <c r="P7" s="17">
        <v>1.34</v>
      </c>
      <c r="Q7" s="17">
        <v>0.79</v>
      </c>
      <c r="R7" s="17">
        <v>0.95299999999999996</v>
      </c>
      <c r="S7" s="17">
        <v>0.95</v>
      </c>
      <c r="T7" s="17">
        <v>20081231</v>
      </c>
      <c r="U7" s="17">
        <v>20190731</v>
      </c>
      <c r="V7" s="17">
        <v>128</v>
      </c>
    </row>
    <row r="8" spans="1:22" hidden="1">
      <c r="A8" s="17" t="s">
        <v>1477</v>
      </c>
      <c r="B8" s="38">
        <v>1.49E-2</v>
      </c>
      <c r="C8" s="38">
        <v>-1.1000000000000001E-3</v>
      </c>
      <c r="D8" s="38">
        <v>8.0999999999999996E-3</v>
      </c>
      <c r="E8" s="38">
        <v>2.1100000000000001E-2</v>
      </c>
      <c r="F8" s="38">
        <v>4.7500000000000001E-2</v>
      </c>
      <c r="G8" s="38">
        <v>1.5900000000000001E-2</v>
      </c>
      <c r="H8" s="38">
        <v>1.29E-2</v>
      </c>
      <c r="I8" s="38">
        <v>1.2E-2</v>
      </c>
      <c r="J8" s="38">
        <v>3.95E-2</v>
      </c>
      <c r="K8" s="38">
        <v>1.43E-2</v>
      </c>
      <c r="L8" s="38">
        <v>2.3599999999999999E-2</v>
      </c>
      <c r="M8" s="38">
        <v>1.9E-2</v>
      </c>
      <c r="N8" s="17">
        <v>1.61</v>
      </c>
      <c r="O8" s="17">
        <v>1.2999999999999999E-3</v>
      </c>
      <c r="P8" s="17">
        <v>1.1000000000000001</v>
      </c>
      <c r="Q8" s="17">
        <v>0.55000000000000004</v>
      </c>
      <c r="R8" s="17">
        <v>0.94399999999999995</v>
      </c>
      <c r="S8" s="17">
        <v>0.98</v>
      </c>
      <c r="T8" s="17">
        <v>20081231</v>
      </c>
      <c r="U8" s="17">
        <v>20190731</v>
      </c>
      <c r="V8" s="17">
        <v>128</v>
      </c>
    </row>
    <row r="9" spans="1:22" hidden="1">
      <c r="A9" s="17" t="s">
        <v>1478</v>
      </c>
      <c r="B9" s="38">
        <v>-2.0999999999999999E-3</v>
      </c>
      <c r="C9" s="38">
        <v>1.7100000000000001E-2</v>
      </c>
      <c r="D9" s="38">
        <v>3.1899999999999998E-2</v>
      </c>
      <c r="E9" s="38">
        <v>2.29E-2</v>
      </c>
      <c r="F9" s="38">
        <v>4.8099999999999997E-2</v>
      </c>
      <c r="G9" s="38">
        <v>2.8E-3</v>
      </c>
      <c r="H9" s="38">
        <v>6.7999999999999996E-3</v>
      </c>
      <c r="I9" s="38">
        <v>1.9900000000000001E-2</v>
      </c>
      <c r="J9" s="38">
        <v>4.8399999999999999E-2</v>
      </c>
      <c r="K9" s="38">
        <v>3.5099999999999999E-2</v>
      </c>
      <c r="L9" s="38">
        <v>4.7399999999999998E-2</v>
      </c>
      <c r="M9" s="38">
        <v>2.5000000000000001E-2</v>
      </c>
      <c r="N9" s="17">
        <v>1.8</v>
      </c>
      <c r="O9" s="17">
        <v>2E-3</v>
      </c>
      <c r="P9" s="17">
        <v>1.45</v>
      </c>
      <c r="Q9" s="17">
        <v>0.97</v>
      </c>
      <c r="R9" s="17">
        <v>0.94599999999999995</v>
      </c>
      <c r="S9" s="17">
        <v>0.86</v>
      </c>
      <c r="T9" s="17">
        <v>20081231</v>
      </c>
      <c r="U9" s="17">
        <v>20190731</v>
      </c>
      <c r="V9" s="17">
        <v>128</v>
      </c>
    </row>
    <row r="10" spans="1:22" hidden="1">
      <c r="A10" s="17" t="s">
        <v>1479</v>
      </c>
      <c r="B10" s="38">
        <v>7.3000000000000001E-3</v>
      </c>
      <c r="C10" s="38">
        <v>1.2699999999999999E-2</v>
      </c>
      <c r="D10" s="38">
        <v>2.69E-2</v>
      </c>
      <c r="E10" s="38">
        <v>2.52E-2</v>
      </c>
      <c r="F10" s="38">
        <v>4.8399999999999999E-2</v>
      </c>
      <c r="G10" s="38">
        <v>1.4999999999999999E-2</v>
      </c>
      <c r="H10" s="38">
        <v>5.1999999999999998E-3</v>
      </c>
      <c r="I10" s="38">
        <v>5.0000000000000001E-3</v>
      </c>
      <c r="J10" s="38">
        <v>4.8899999999999999E-2</v>
      </c>
      <c r="K10" s="38">
        <v>3.3300000000000003E-2</v>
      </c>
      <c r="L10" s="38">
        <v>4.24E-2</v>
      </c>
      <c r="M10" s="38">
        <v>2.4E-2</v>
      </c>
      <c r="N10" s="17">
        <v>1.88</v>
      </c>
      <c r="O10" s="17">
        <v>1.6999999999999999E-3</v>
      </c>
      <c r="P10" s="17">
        <v>1.36</v>
      </c>
      <c r="Q10" s="17">
        <v>0.85</v>
      </c>
      <c r="R10" s="17">
        <v>0.94599999999999995</v>
      </c>
      <c r="S10" s="17">
        <v>0.92</v>
      </c>
      <c r="T10" s="17">
        <v>20081231</v>
      </c>
      <c r="U10" s="17">
        <v>20190731</v>
      </c>
      <c r="V10" s="17">
        <v>128</v>
      </c>
    </row>
    <row r="11" spans="1:22" hidden="1">
      <c r="A11" s="17" t="s">
        <v>1480</v>
      </c>
      <c r="B11" s="38">
        <v>9.4000000000000004E-3</v>
      </c>
      <c r="C11" s="38">
        <v>8.6E-3</v>
      </c>
      <c r="D11" s="38">
        <v>3.1699999999999999E-2</v>
      </c>
      <c r="E11" s="38">
        <v>2.3900000000000001E-2</v>
      </c>
      <c r="F11" s="38">
        <v>3.6600000000000001E-2</v>
      </c>
      <c r="G11" s="38">
        <v>2.41E-2</v>
      </c>
      <c r="H11" s="38">
        <v>2.1299999999999999E-2</v>
      </c>
      <c r="I11" s="38">
        <v>1.8800000000000001E-2</v>
      </c>
      <c r="J11" s="38">
        <v>4.3299999999999998E-2</v>
      </c>
      <c r="K11" s="38">
        <v>3.3599999999999998E-2</v>
      </c>
      <c r="L11" s="38">
        <v>3.3000000000000002E-2</v>
      </c>
      <c r="M11" s="38">
        <v>2.5999999999999999E-2</v>
      </c>
      <c r="N11" s="17">
        <v>2.19</v>
      </c>
      <c r="O11" s="17">
        <v>1.6999999999999999E-3</v>
      </c>
      <c r="P11" s="17">
        <v>1.4</v>
      </c>
      <c r="Q11" s="17">
        <v>0.77</v>
      </c>
      <c r="R11" s="17">
        <v>0.95299999999999996</v>
      </c>
      <c r="S11" s="17">
        <v>0.94</v>
      </c>
      <c r="T11" s="17">
        <v>20081231</v>
      </c>
      <c r="U11" s="17">
        <v>20190731</v>
      </c>
      <c r="V11" s="17">
        <v>128</v>
      </c>
    </row>
    <row r="12" spans="1:22" hidden="1">
      <c r="A12" s="17" t="s">
        <v>1481</v>
      </c>
      <c r="B12" s="38">
        <v>1.3299999999999999E-2</v>
      </c>
      <c r="C12" s="38">
        <v>-7.7000000000000002E-3</v>
      </c>
      <c r="D12" s="38">
        <v>1.78E-2</v>
      </c>
      <c r="E12" s="38">
        <v>1.9699999999999999E-2</v>
      </c>
      <c r="F12" s="38">
        <v>3.9300000000000002E-2</v>
      </c>
      <c r="G12" s="38">
        <v>2.5000000000000001E-2</v>
      </c>
      <c r="H12" s="38">
        <v>1.6199999999999999E-2</v>
      </c>
      <c r="I12" s="38">
        <v>1.4E-2</v>
      </c>
      <c r="J12" s="38">
        <v>4.0399999999999998E-2</v>
      </c>
      <c r="K12" s="38">
        <v>1.78E-2</v>
      </c>
      <c r="L12" s="38">
        <v>1.9E-2</v>
      </c>
      <c r="M12" s="38">
        <v>0.02</v>
      </c>
      <c r="N12" s="17">
        <v>1.59</v>
      </c>
      <c r="O12" s="17">
        <v>1.1999999999999999E-3</v>
      </c>
      <c r="P12" s="17">
        <v>1.03</v>
      </c>
      <c r="Q12" s="17">
        <v>0.51</v>
      </c>
      <c r="R12" s="17">
        <v>0.94399999999999995</v>
      </c>
      <c r="S12" s="17">
        <v>0.97</v>
      </c>
      <c r="T12" s="17">
        <v>20081231</v>
      </c>
      <c r="U12" s="17">
        <v>20190731</v>
      </c>
      <c r="V12" s="17">
        <v>128</v>
      </c>
    </row>
    <row r="13" spans="1:22" hidden="1">
      <c r="A13" s="17" t="s">
        <v>1482</v>
      </c>
      <c r="B13" s="38">
        <v>1.9E-3</v>
      </c>
      <c r="C13" s="38">
        <v>1.47E-2</v>
      </c>
      <c r="D13" s="38">
        <v>3.8899999999999997E-2</v>
      </c>
      <c r="E13" s="38">
        <v>2.41E-2</v>
      </c>
      <c r="F13" s="38">
        <v>3.5499999999999997E-2</v>
      </c>
      <c r="G13" s="38">
        <v>0.01</v>
      </c>
      <c r="H13" s="38">
        <v>2.01E-2</v>
      </c>
      <c r="I13" s="38">
        <v>3.7699999999999997E-2</v>
      </c>
      <c r="J13" s="38">
        <v>3.8300000000000001E-2</v>
      </c>
      <c r="K13" s="38">
        <v>3.61E-2</v>
      </c>
      <c r="L13" s="38">
        <v>4.4499999999999998E-2</v>
      </c>
      <c r="M13" s="38">
        <v>2.7E-2</v>
      </c>
      <c r="N13" s="17">
        <v>1.96</v>
      </c>
      <c r="O13" s="17">
        <v>1.9E-3</v>
      </c>
      <c r="P13" s="17">
        <v>1.42</v>
      </c>
      <c r="Q13" s="17">
        <v>0.93</v>
      </c>
      <c r="R13" s="17">
        <v>0.94599999999999995</v>
      </c>
      <c r="S13" s="17">
        <v>0.86</v>
      </c>
      <c r="T13" s="17">
        <v>20081231</v>
      </c>
      <c r="U13" s="17">
        <v>20190731</v>
      </c>
      <c r="V13" s="17">
        <v>128</v>
      </c>
    </row>
    <row r="14" spans="1:22" hidden="1">
      <c r="A14" s="17" t="s">
        <v>1483</v>
      </c>
      <c r="B14" s="38">
        <v>2.5000000000000001E-3</v>
      </c>
      <c r="C14" s="38">
        <v>1.1599999999999999E-2</v>
      </c>
      <c r="D14" s="38">
        <v>4.0099999999999997E-2</v>
      </c>
      <c r="E14" s="38">
        <v>2.06E-2</v>
      </c>
      <c r="F14" s="38">
        <v>3.9600000000000003E-2</v>
      </c>
      <c r="G14" s="38">
        <v>2.4299999999999999E-2</v>
      </c>
      <c r="H14" s="38">
        <v>1.78E-2</v>
      </c>
      <c r="I14" s="38">
        <v>3.0099999999999998E-2</v>
      </c>
      <c r="J14" s="38">
        <v>4.02E-2</v>
      </c>
      <c r="K14" s="38">
        <v>2.93E-2</v>
      </c>
      <c r="L14" s="38">
        <v>4.02E-2</v>
      </c>
      <c r="M14" s="38">
        <v>2.7E-2</v>
      </c>
      <c r="N14" s="17">
        <v>2.06</v>
      </c>
      <c r="O14" s="17">
        <v>1.8E-3</v>
      </c>
      <c r="P14" s="17">
        <v>1.45</v>
      </c>
      <c r="Q14" s="17">
        <v>0.86</v>
      </c>
      <c r="R14" s="17">
        <v>0.94599999999999995</v>
      </c>
      <c r="S14" s="17">
        <v>0.92</v>
      </c>
      <c r="T14" s="17">
        <v>20081231</v>
      </c>
      <c r="U14" s="17">
        <v>20190731</v>
      </c>
      <c r="V14" s="17">
        <v>128</v>
      </c>
    </row>
    <row r="15" spans="1:22" hidden="1">
      <c r="A15" s="17" t="s">
        <v>1484</v>
      </c>
      <c r="B15" s="38">
        <v>8.2699999999999996E-2</v>
      </c>
      <c r="C15" s="38">
        <v>4.8399999999999999E-2</v>
      </c>
      <c r="D15" s="38">
        <v>5.2999999999999999E-2</v>
      </c>
      <c r="E15" s="38">
        <v>2.47E-2</v>
      </c>
      <c r="F15" s="38">
        <v>4.7500000000000001E-2</v>
      </c>
      <c r="G15" s="38">
        <v>4.99E-2</v>
      </c>
      <c r="H15" s="38">
        <v>5.8000000000000003E-2</v>
      </c>
      <c r="I15" s="38">
        <v>4.6199999999999998E-2</v>
      </c>
      <c r="J15" s="38">
        <v>2.87E-2</v>
      </c>
      <c r="K15" s="38">
        <v>2.7300000000000001E-2</v>
      </c>
      <c r="L15" s="38">
        <v>4.7699999999999999E-2</v>
      </c>
      <c r="M15" s="38">
        <v>4.7E-2</v>
      </c>
      <c r="N15" s="17">
        <v>2.5499999999999998</v>
      </c>
      <c r="O15" s="17">
        <v>3.8999999999999998E-3</v>
      </c>
      <c r="P15" s="17">
        <v>1.95</v>
      </c>
      <c r="Q15" s="17">
        <v>1.67</v>
      </c>
      <c r="R15" s="17">
        <v>0.93300000000000005</v>
      </c>
      <c r="S15" s="17">
        <v>0.12</v>
      </c>
      <c r="T15" s="17">
        <v>20081231</v>
      </c>
      <c r="U15" s="17">
        <v>20190731</v>
      </c>
      <c r="V15" s="17">
        <v>128</v>
      </c>
    </row>
    <row r="16" spans="1:22" hidden="1">
      <c r="A16" s="17" t="s">
        <v>1485</v>
      </c>
      <c r="B16" s="38">
        <v>8.09E-2</v>
      </c>
      <c r="C16" s="38">
        <v>4.9599999999999998E-2</v>
      </c>
      <c r="D16" s="38">
        <v>4.9500000000000002E-2</v>
      </c>
      <c r="E16" s="38">
        <v>2.5600000000000001E-2</v>
      </c>
      <c r="F16" s="38">
        <v>5.0299999999999997E-2</v>
      </c>
      <c r="G16" s="38">
        <v>4.8000000000000001E-2</v>
      </c>
      <c r="H16" s="38">
        <v>5.7099999999999998E-2</v>
      </c>
      <c r="I16" s="38">
        <v>4.48E-2</v>
      </c>
      <c r="J16" s="38">
        <v>2.9899999999999999E-2</v>
      </c>
      <c r="K16" s="38">
        <v>2.6700000000000002E-2</v>
      </c>
      <c r="L16" s="38">
        <v>4.58E-2</v>
      </c>
      <c r="M16" s="38">
        <v>4.5999999999999999E-2</v>
      </c>
      <c r="N16" s="17">
        <v>2.58</v>
      </c>
      <c r="O16" s="17">
        <v>3.8999999999999998E-3</v>
      </c>
      <c r="P16" s="17">
        <v>2.0299999999999998</v>
      </c>
      <c r="Q16" s="17">
        <v>1.67</v>
      </c>
      <c r="R16" s="17">
        <v>0.93300000000000005</v>
      </c>
      <c r="S16" s="17">
        <v>0.13</v>
      </c>
      <c r="T16" s="17">
        <v>20081231</v>
      </c>
      <c r="U16" s="17">
        <v>20190731</v>
      </c>
      <c r="V16" s="17">
        <v>128</v>
      </c>
    </row>
    <row r="17" spans="1:22" hidden="1">
      <c r="A17" s="17" t="s">
        <v>1486</v>
      </c>
      <c r="B17" s="38">
        <v>7.6300000000000007E-2</v>
      </c>
      <c r="C17" s="38">
        <v>4.9299999999999997E-2</v>
      </c>
      <c r="D17" s="38">
        <v>5.2200000000000003E-2</v>
      </c>
      <c r="E17" s="38">
        <v>2.46E-2</v>
      </c>
      <c r="F17" s="38">
        <v>4.9799999999999997E-2</v>
      </c>
      <c r="G17" s="38">
        <v>4.8899999999999999E-2</v>
      </c>
      <c r="H17" s="38">
        <v>5.8400000000000001E-2</v>
      </c>
      <c r="I17" s="38">
        <v>4.48E-2</v>
      </c>
      <c r="J17" s="38">
        <v>3.0599999999999999E-2</v>
      </c>
      <c r="K17" s="38">
        <v>2.7099999999999999E-2</v>
      </c>
      <c r="L17" s="38">
        <v>4.6800000000000001E-2</v>
      </c>
      <c r="M17" s="38">
        <v>4.5999999999999999E-2</v>
      </c>
      <c r="N17" s="17">
        <v>2.5499999999999998</v>
      </c>
      <c r="O17" s="17">
        <v>3.8E-3</v>
      </c>
      <c r="P17" s="17">
        <v>1.95</v>
      </c>
      <c r="Q17" s="17">
        <v>1.66</v>
      </c>
      <c r="R17" s="17">
        <v>0.93300000000000005</v>
      </c>
      <c r="S17" s="17">
        <v>0.12</v>
      </c>
      <c r="T17" s="17">
        <v>20081231</v>
      </c>
      <c r="U17" s="17">
        <v>20190731</v>
      </c>
      <c r="V17" s="17">
        <v>128</v>
      </c>
    </row>
    <row r="18" spans="1:22" hidden="1">
      <c r="A18" s="17" t="s">
        <v>1487</v>
      </c>
      <c r="B18" s="38">
        <v>-4.0399999999999998E-2</v>
      </c>
      <c r="C18" s="38">
        <v>9.1000000000000004E-3</v>
      </c>
      <c r="D18" s="38">
        <v>-2.63E-2</v>
      </c>
      <c r="E18" s="38">
        <v>2.1399999999999999E-2</v>
      </c>
      <c r="F18" s="38">
        <v>2.5600000000000001E-2</v>
      </c>
      <c r="G18" s="38">
        <v>-4.8599999999999997E-2</v>
      </c>
      <c r="H18" s="38">
        <v>-2.69E-2</v>
      </c>
      <c r="I18" s="38">
        <v>-6.3600000000000004E-2</v>
      </c>
      <c r="J18" s="38">
        <v>1.9199999999999998E-2</v>
      </c>
      <c r="K18" s="38">
        <v>1.1599999999999999E-2</v>
      </c>
      <c r="L18" s="38">
        <v>1.8100000000000002E-2</v>
      </c>
      <c r="M18" s="38">
        <v>-0.01</v>
      </c>
      <c r="N18" s="17">
        <v>-0.39</v>
      </c>
      <c r="O18" s="34">
        <v>-2.9999999999999997E-4</v>
      </c>
      <c r="P18" s="17">
        <v>-0.12</v>
      </c>
      <c r="Q18" s="17">
        <v>-0.03</v>
      </c>
      <c r="R18" s="17">
        <v>0.995</v>
      </c>
      <c r="S18" s="17">
        <v>0.9</v>
      </c>
      <c r="T18" s="17">
        <v>20081231</v>
      </c>
      <c r="U18" s="17">
        <v>20190731</v>
      </c>
      <c r="V18" s="17">
        <v>128</v>
      </c>
    </row>
    <row r="19" spans="1:22" hidden="1">
      <c r="A19" s="17" t="s">
        <v>1488</v>
      </c>
      <c r="B19" s="38">
        <v>-2.7300000000000001E-2</v>
      </c>
      <c r="C19" s="38">
        <v>7.6E-3</v>
      </c>
      <c r="D19" s="38">
        <v>-2.6700000000000002E-2</v>
      </c>
      <c r="E19" s="38">
        <v>-9.1000000000000004E-3</v>
      </c>
      <c r="F19" s="38">
        <v>2.47E-2</v>
      </c>
      <c r="G19" s="38">
        <v>-3.2399999999999998E-2</v>
      </c>
      <c r="H19" s="38">
        <v>-2.0500000000000001E-2</v>
      </c>
      <c r="I19" s="38">
        <v>-5.04E-2</v>
      </c>
      <c r="J19" s="38">
        <v>1.44E-2</v>
      </c>
      <c r="K19" s="38">
        <v>1.55E-2</v>
      </c>
      <c r="L19" s="38">
        <v>2.46E-2</v>
      </c>
      <c r="M19" s="38">
        <v>-8.0000000000000002E-3</v>
      </c>
      <c r="N19" s="17">
        <v>-0.34</v>
      </c>
      <c r="O19" s="34">
        <v>-1E-4</v>
      </c>
      <c r="P19" s="17">
        <v>-0.05</v>
      </c>
      <c r="Q19" s="17">
        <v>0.03</v>
      </c>
      <c r="R19" s="17">
        <v>0.998</v>
      </c>
      <c r="S19" s="17">
        <v>0.87</v>
      </c>
      <c r="T19" s="17">
        <v>20081231</v>
      </c>
      <c r="U19" s="17">
        <v>20190731</v>
      </c>
      <c r="V19" s="17">
        <v>128</v>
      </c>
    </row>
    <row r="20" spans="1:22" hidden="1">
      <c r="A20" s="17" t="s">
        <v>1489</v>
      </c>
      <c r="B20" s="38">
        <v>-2.64E-2</v>
      </c>
      <c r="C20" s="38">
        <v>5.8999999999999999E-3</v>
      </c>
      <c r="D20" s="38">
        <v>-2.24E-2</v>
      </c>
      <c r="E20" s="38">
        <v>-3.3999999999999998E-3</v>
      </c>
      <c r="F20" s="38">
        <v>2.5399999999999999E-2</v>
      </c>
      <c r="G20" s="38">
        <v>-3.2899999999999999E-2</v>
      </c>
      <c r="H20" s="38">
        <v>-1.49E-2</v>
      </c>
      <c r="I20" s="38">
        <v>-6.0999999999999999E-2</v>
      </c>
      <c r="J20" s="38">
        <v>1.4E-2</v>
      </c>
      <c r="K20" s="38">
        <v>1.46E-2</v>
      </c>
      <c r="L20" s="38">
        <v>2.1600000000000001E-2</v>
      </c>
      <c r="M20" s="38">
        <v>-8.0000000000000002E-3</v>
      </c>
      <c r="N20" s="17">
        <v>-0.33</v>
      </c>
      <c r="O20" s="17">
        <v>0</v>
      </c>
      <c r="P20" s="17">
        <v>0</v>
      </c>
      <c r="Q20" s="17">
        <v>0.08</v>
      </c>
      <c r="R20" s="17">
        <v>0.997</v>
      </c>
      <c r="S20" s="17">
        <v>0.88</v>
      </c>
      <c r="T20" s="17">
        <v>20081231</v>
      </c>
      <c r="U20" s="17">
        <v>20190731</v>
      </c>
      <c r="V20" s="17">
        <v>128</v>
      </c>
    </row>
    <row r="21" spans="1:22" hidden="1">
      <c r="A21" s="17" t="s">
        <v>1490</v>
      </c>
      <c r="B21" s="38">
        <v>-3.2199999999999999E-2</v>
      </c>
      <c r="C21" s="38">
        <v>8.0000000000000002E-3</v>
      </c>
      <c r="D21" s="38">
        <v>-2.3900000000000001E-2</v>
      </c>
      <c r="E21" s="38">
        <v>1.4500000000000001E-2</v>
      </c>
      <c r="F21" s="38">
        <v>2.47E-2</v>
      </c>
      <c r="G21" s="38">
        <v>-4.2999999999999997E-2</v>
      </c>
      <c r="H21" s="38">
        <v>-1.89E-2</v>
      </c>
      <c r="I21" s="38">
        <v>-6.0499999999999998E-2</v>
      </c>
      <c r="J21" s="38">
        <v>1.5599999999999999E-2</v>
      </c>
      <c r="K21" s="38">
        <v>1.17E-2</v>
      </c>
      <c r="L21" s="38">
        <v>1.37E-2</v>
      </c>
      <c r="M21" s="38">
        <v>-8.9999999999999993E-3</v>
      </c>
      <c r="N21" s="17">
        <v>-0.35</v>
      </c>
      <c r="O21" s="34">
        <v>-1E-4</v>
      </c>
      <c r="P21" s="17">
        <v>-0.03</v>
      </c>
      <c r="Q21" s="17">
        <v>0.05</v>
      </c>
      <c r="R21" s="17">
        <v>0.996</v>
      </c>
      <c r="S21" s="17">
        <v>0.89</v>
      </c>
      <c r="T21" s="17">
        <v>20081231</v>
      </c>
      <c r="U21" s="17">
        <v>20190731</v>
      </c>
      <c r="V21" s="17">
        <v>128</v>
      </c>
    </row>
    <row r="22" spans="1:22" hidden="1">
      <c r="A22" s="17" t="s">
        <v>1491</v>
      </c>
      <c r="B22" s="38">
        <v>-2.7199999999999998E-2</v>
      </c>
      <c r="C22" s="38">
        <v>3.1E-2</v>
      </c>
      <c r="D22" s="38">
        <v>-2.1100000000000001E-2</v>
      </c>
      <c r="E22" s="38">
        <v>2.98E-2</v>
      </c>
      <c r="F22" s="38">
        <v>6.5799999999999997E-2</v>
      </c>
      <c r="G22" s="38">
        <v>-2.3699999999999999E-2</v>
      </c>
      <c r="H22" s="38">
        <v>-3.3599999999999998E-2</v>
      </c>
      <c r="I22" s="38">
        <v>2.6800000000000001E-2</v>
      </c>
      <c r="J22" s="38">
        <v>4.7600000000000003E-2</v>
      </c>
      <c r="K22" s="38">
        <v>4.3099999999999999E-2</v>
      </c>
      <c r="L22" s="38">
        <v>3.4599999999999999E-2</v>
      </c>
      <c r="M22" s="38">
        <v>1.4999999999999999E-2</v>
      </c>
      <c r="N22" s="17">
        <v>0.64</v>
      </c>
      <c r="O22" s="34">
        <v>5.9999999999999995E-4</v>
      </c>
      <c r="P22" s="17">
        <v>0.25</v>
      </c>
      <c r="Q22" s="17">
        <v>0.63</v>
      </c>
      <c r="R22" s="17">
        <v>0.98799999999999999</v>
      </c>
      <c r="S22" s="17">
        <v>0.93</v>
      </c>
      <c r="T22" s="17">
        <v>20081231</v>
      </c>
      <c r="U22" s="17">
        <v>20190731</v>
      </c>
      <c r="V22" s="17">
        <v>128</v>
      </c>
    </row>
    <row r="23" spans="1:22" hidden="1">
      <c r="A23" s="17" t="s">
        <v>1492</v>
      </c>
      <c r="B23" s="38">
        <v>-1.9E-2</v>
      </c>
      <c r="C23" s="38">
        <v>1.6500000000000001E-2</v>
      </c>
      <c r="D23" s="38">
        <v>-1.01E-2</v>
      </c>
      <c r="E23" s="38">
        <v>7.0000000000000001E-3</v>
      </c>
      <c r="F23" s="38">
        <v>5.91E-2</v>
      </c>
      <c r="G23" s="38">
        <v>-3.5299999999999998E-2</v>
      </c>
      <c r="H23" s="38">
        <v>-1.21E-2</v>
      </c>
      <c r="I23" s="38">
        <v>2.64E-2</v>
      </c>
      <c r="J23" s="38">
        <v>4.7399999999999998E-2</v>
      </c>
      <c r="K23" s="38">
        <v>4.3299999999999998E-2</v>
      </c>
      <c r="L23" s="38">
        <v>3.8800000000000001E-2</v>
      </c>
      <c r="M23" s="38">
        <v>1.4E-2</v>
      </c>
      <c r="N23" s="17">
        <v>0.63</v>
      </c>
      <c r="O23" s="34">
        <v>4.0000000000000002E-4</v>
      </c>
      <c r="P23" s="17">
        <v>0.17</v>
      </c>
      <c r="Q23" s="17">
        <v>0.5</v>
      </c>
      <c r="R23" s="17">
        <v>0.92700000000000005</v>
      </c>
      <c r="S23" s="17">
        <v>0.97</v>
      </c>
      <c r="T23" s="17">
        <v>20081231</v>
      </c>
      <c r="U23" s="17">
        <v>20190731</v>
      </c>
      <c r="V23" s="17">
        <v>128</v>
      </c>
    </row>
    <row r="24" spans="1:22" hidden="1">
      <c r="A24" s="17" t="s">
        <v>1493</v>
      </c>
      <c r="B24" s="38">
        <v>-2.5999999999999999E-2</v>
      </c>
      <c r="C24" s="38">
        <v>4.1000000000000002E-2</v>
      </c>
      <c r="D24" s="38">
        <v>-1.43E-2</v>
      </c>
      <c r="E24" s="38">
        <v>5.1000000000000004E-3</v>
      </c>
      <c r="F24" s="38">
        <v>4.7500000000000001E-2</v>
      </c>
      <c r="G24" s="38">
        <v>-1.12E-2</v>
      </c>
      <c r="H24" s="38">
        <v>-5.4300000000000001E-2</v>
      </c>
      <c r="I24" s="38">
        <v>3.7100000000000001E-2</v>
      </c>
      <c r="J24" s="38">
        <v>4.9799999999999997E-2</v>
      </c>
      <c r="K24" s="38">
        <v>5.8299999999999998E-2</v>
      </c>
      <c r="L24" s="38">
        <v>4.4699999999999997E-2</v>
      </c>
      <c r="M24" s="38">
        <v>1.4999999999999999E-2</v>
      </c>
      <c r="N24" s="17">
        <v>0.64</v>
      </c>
      <c r="O24" s="34">
        <v>8.0000000000000004E-4</v>
      </c>
      <c r="P24" s="17">
        <v>0.32</v>
      </c>
      <c r="Q24" s="17">
        <v>0.73</v>
      </c>
      <c r="R24" s="17">
        <v>0.999</v>
      </c>
      <c r="S24" s="17">
        <v>0.83</v>
      </c>
      <c r="T24" s="17">
        <v>20081231</v>
      </c>
      <c r="U24" s="17">
        <v>20190731</v>
      </c>
      <c r="V24" s="17">
        <v>128</v>
      </c>
    </row>
    <row r="25" spans="1:22" hidden="1">
      <c r="A25" s="17" t="s">
        <v>1494</v>
      </c>
      <c r="B25" s="38">
        <v>-2.4500000000000001E-2</v>
      </c>
      <c r="C25" s="38">
        <v>3.4500000000000003E-2</v>
      </c>
      <c r="D25" s="38">
        <v>-2.3E-2</v>
      </c>
      <c r="E25" s="38">
        <v>2.6800000000000001E-2</v>
      </c>
      <c r="F25" s="38">
        <v>6.4799999999999996E-2</v>
      </c>
      <c r="G25" s="38">
        <v>-1.5599999999999999E-2</v>
      </c>
      <c r="H25" s="38">
        <v>-4.4699999999999997E-2</v>
      </c>
      <c r="I25" s="38">
        <v>2.4400000000000002E-2</v>
      </c>
      <c r="J25" s="38">
        <v>4.7E-2</v>
      </c>
      <c r="K25" s="38">
        <v>4.7800000000000002E-2</v>
      </c>
      <c r="L25" s="38">
        <v>3.39E-2</v>
      </c>
      <c r="M25" s="38">
        <v>1.4999999999999999E-2</v>
      </c>
      <c r="N25" s="17">
        <v>0.62</v>
      </c>
      <c r="O25" s="34">
        <v>6.9999999999999999E-4</v>
      </c>
      <c r="P25" s="17">
        <v>0.28000000000000003</v>
      </c>
      <c r="Q25" s="17">
        <v>0.67</v>
      </c>
      <c r="R25" s="17">
        <v>0.996</v>
      </c>
      <c r="S25" s="17">
        <v>0.9</v>
      </c>
      <c r="T25" s="17">
        <v>20081231</v>
      </c>
      <c r="U25" s="17">
        <v>20190731</v>
      </c>
      <c r="V25" s="17">
        <v>128</v>
      </c>
    </row>
    <row r="26" spans="1:22" hidden="1">
      <c r="A26" s="17" t="s">
        <v>1599</v>
      </c>
      <c r="B26" s="38">
        <v>-9.2999999999999992E-3</v>
      </c>
      <c r="C26" s="38">
        <v>-1.6199999999999999E-2</v>
      </c>
      <c r="D26" s="38">
        <v>-7.1999999999999998E-3</v>
      </c>
      <c r="E26" s="38">
        <v>-8.0999999999999996E-3</v>
      </c>
      <c r="F26" s="38">
        <v>-5.6800000000000003E-2</v>
      </c>
      <c r="G26" s="38">
        <v>-9.0499999999999997E-2</v>
      </c>
      <c r="H26" s="38">
        <v>-8.5000000000000006E-3</v>
      </c>
      <c r="I26" s="38">
        <v>-7.5800000000000006E-2</v>
      </c>
      <c r="J26" s="38">
        <v>-4.2500000000000003E-2</v>
      </c>
      <c r="K26" s="38">
        <v>-1.2500000000000001E-2</v>
      </c>
      <c r="L26" s="38">
        <v>-3.0800000000000001E-2</v>
      </c>
      <c r="M26" s="38">
        <v>-3.3000000000000002E-2</v>
      </c>
      <c r="N26" s="17">
        <v>-1.1499999999999999</v>
      </c>
      <c r="O26" s="17">
        <v>-1.6000000000000001E-3</v>
      </c>
      <c r="P26" s="17">
        <v>-0.5</v>
      </c>
      <c r="Q26" s="17">
        <v>-0.71</v>
      </c>
      <c r="R26" s="17">
        <v>0.95599999999999996</v>
      </c>
      <c r="S26" s="17">
        <v>0.92</v>
      </c>
      <c r="T26" s="17">
        <v>20081231</v>
      </c>
      <c r="U26" s="17">
        <v>20190731</v>
      </c>
      <c r="V26" s="17">
        <v>128</v>
      </c>
    </row>
    <row r="27" spans="1:22" hidden="1">
      <c r="A27" s="17" t="s">
        <v>1600</v>
      </c>
      <c r="B27" s="38">
        <v>-7.3200000000000001E-2</v>
      </c>
      <c r="C27" s="38">
        <v>-4.8999999999999998E-3</v>
      </c>
      <c r="D27" s="38">
        <v>-2.8500000000000001E-2</v>
      </c>
      <c r="E27" s="38">
        <v>4.8999999999999998E-3</v>
      </c>
      <c r="F27" s="38">
        <v>-3.3799999999999997E-2</v>
      </c>
      <c r="G27" s="38">
        <v>-9.8299999999999998E-2</v>
      </c>
      <c r="H27" s="38">
        <v>-9.2999999999999992E-3</v>
      </c>
      <c r="I27" s="38">
        <v>-9.5000000000000001E-2</v>
      </c>
      <c r="J27" s="38">
        <v>-4.2299999999999997E-2</v>
      </c>
      <c r="K27" s="38">
        <v>-1.2E-2</v>
      </c>
      <c r="L27" s="38">
        <v>-5.2699999999999997E-2</v>
      </c>
      <c r="M27" s="38">
        <v>-0.04</v>
      </c>
      <c r="N27" s="17">
        <v>-1.39</v>
      </c>
      <c r="O27" s="17">
        <v>-2.2000000000000001E-3</v>
      </c>
      <c r="P27" s="17">
        <v>-0.76</v>
      </c>
      <c r="Q27" s="17">
        <v>-1</v>
      </c>
      <c r="R27" s="17">
        <v>0.95</v>
      </c>
      <c r="S27" s="17">
        <v>0.25</v>
      </c>
      <c r="T27" s="17">
        <v>20081231</v>
      </c>
      <c r="U27" s="17">
        <v>20190731</v>
      </c>
      <c r="V27" s="17">
        <v>128</v>
      </c>
    </row>
    <row r="28" spans="1:22" hidden="1">
      <c r="A28" s="17" t="s">
        <v>1601</v>
      </c>
      <c r="B28" s="38">
        <v>3.0700000000000002E-2</v>
      </c>
      <c r="C28" s="38">
        <v>-2.07E-2</v>
      </c>
      <c r="D28" s="38">
        <v>-2.23E-2</v>
      </c>
      <c r="E28" s="38">
        <v>-1.4200000000000001E-2</v>
      </c>
      <c r="F28" s="38">
        <v>-5.8900000000000001E-2</v>
      </c>
      <c r="G28" s="38">
        <v>-8.4699999999999998E-2</v>
      </c>
      <c r="H28" s="38">
        <v>-5.0000000000000001E-3</v>
      </c>
      <c r="I28" s="38">
        <v>-5.4600000000000003E-2</v>
      </c>
      <c r="J28" s="38">
        <v>-4.8899999999999999E-2</v>
      </c>
      <c r="K28" s="38">
        <v>-1.55E-2</v>
      </c>
      <c r="L28" s="38">
        <v>-1.46E-2</v>
      </c>
      <c r="M28" s="38">
        <v>-2.8000000000000001E-2</v>
      </c>
      <c r="N28" s="17">
        <v>-1.1499999999999999</v>
      </c>
      <c r="O28" s="17">
        <v>-1.1000000000000001E-3</v>
      </c>
      <c r="P28" s="17">
        <v>-0.39</v>
      </c>
      <c r="Q28" s="17">
        <v>-0.62</v>
      </c>
      <c r="R28" s="17">
        <v>0.94699999999999995</v>
      </c>
      <c r="S28" s="17">
        <v>0.96</v>
      </c>
      <c r="T28" s="17">
        <v>20081231</v>
      </c>
      <c r="U28" s="17">
        <v>20190731</v>
      </c>
      <c r="V28" s="17">
        <v>128</v>
      </c>
    </row>
    <row r="29" spans="1:22" hidden="1">
      <c r="A29" s="17" t="s">
        <v>1602</v>
      </c>
      <c r="B29" s="38">
        <v>-4.7E-2</v>
      </c>
      <c r="C29" s="38">
        <v>2.24E-2</v>
      </c>
      <c r="D29" s="38">
        <v>-2.1100000000000001E-2</v>
      </c>
      <c r="E29" s="38">
        <v>2.8899999999999999E-2</v>
      </c>
      <c r="F29" s="38">
        <v>-1.7899999999999999E-2</v>
      </c>
      <c r="G29" s="38">
        <v>-7.1599999999999997E-2</v>
      </c>
      <c r="H29" s="38">
        <v>-8.6999999999999994E-3</v>
      </c>
      <c r="I29" s="38">
        <v>-8.7300000000000003E-2</v>
      </c>
      <c r="J29" s="38">
        <v>-4.7300000000000002E-2</v>
      </c>
      <c r="K29" s="38">
        <v>-1.5100000000000001E-2</v>
      </c>
      <c r="L29" s="38">
        <v>-4.9000000000000002E-2</v>
      </c>
      <c r="M29" s="38">
        <v>-2.8000000000000001E-2</v>
      </c>
      <c r="N29" s="17">
        <v>-0.9</v>
      </c>
      <c r="O29" s="17">
        <v>-1.1000000000000001E-3</v>
      </c>
      <c r="P29" s="17">
        <v>-0.33</v>
      </c>
      <c r="Q29" s="17">
        <v>-0.53</v>
      </c>
      <c r="R29" s="17">
        <v>0.94799999999999995</v>
      </c>
      <c r="S29" s="17">
        <v>0.68</v>
      </c>
      <c r="T29" s="17">
        <v>20081231</v>
      </c>
      <c r="U29" s="17">
        <v>20190731</v>
      </c>
      <c r="V29" s="17">
        <v>128</v>
      </c>
    </row>
    <row r="30" spans="1:22" hidden="1">
      <c r="A30" s="17" t="s">
        <v>1603</v>
      </c>
      <c r="B30" s="38">
        <v>-2.9600000000000001E-2</v>
      </c>
      <c r="C30" s="38">
        <v>3.0000000000000001E-3</v>
      </c>
      <c r="D30" s="38">
        <v>-2.0799999999999999E-2</v>
      </c>
      <c r="E30" s="38">
        <v>4.6800000000000001E-2</v>
      </c>
      <c r="F30" s="38">
        <v>-2.3800000000000002E-2</v>
      </c>
      <c r="G30" s="38">
        <v>-6.9699999999999998E-2</v>
      </c>
      <c r="H30" s="38">
        <v>-7.7000000000000002E-3</v>
      </c>
      <c r="I30" s="38">
        <v>-8.4099999999999994E-2</v>
      </c>
      <c r="J30" s="38">
        <v>-4.9799999999999997E-2</v>
      </c>
      <c r="K30" s="38">
        <v>-1.7399999999999999E-2</v>
      </c>
      <c r="L30" s="38">
        <v>-3.4000000000000002E-2</v>
      </c>
      <c r="M30" s="38">
        <v>-2.5999999999999999E-2</v>
      </c>
      <c r="N30" s="17">
        <v>-0.84</v>
      </c>
      <c r="O30" s="34">
        <v>-8.9999999999999998E-4</v>
      </c>
      <c r="P30" s="17">
        <v>-0.28999999999999998</v>
      </c>
      <c r="Q30" s="17">
        <v>-0.46</v>
      </c>
      <c r="R30" s="17">
        <v>0.94599999999999995</v>
      </c>
      <c r="S30" s="17">
        <v>0.84</v>
      </c>
      <c r="T30" s="17">
        <v>20081231</v>
      </c>
      <c r="U30" s="17">
        <v>20190731</v>
      </c>
      <c r="V30" s="17">
        <v>128</v>
      </c>
    </row>
    <row r="31" spans="1:22" hidden="1">
      <c r="A31" s="17" t="s">
        <v>1755</v>
      </c>
      <c r="B31" s="38">
        <v>6.93E-2</v>
      </c>
      <c r="C31" s="38">
        <v>4.9299999999999997E-2</v>
      </c>
      <c r="D31" s="38">
        <v>6.7199999999999996E-2</v>
      </c>
      <c r="E31" s="38">
        <v>5.9200000000000003E-2</v>
      </c>
      <c r="F31" s="38">
        <v>6.0400000000000002E-2</v>
      </c>
      <c r="G31" s="38">
        <v>5.0900000000000001E-2</v>
      </c>
      <c r="H31" s="38">
        <v>7.4700000000000003E-2</v>
      </c>
      <c r="I31" s="38">
        <v>8.4900000000000003E-2</v>
      </c>
      <c r="J31" s="38">
        <v>3.0700000000000002E-2</v>
      </c>
      <c r="K31" s="38">
        <v>7.3300000000000004E-2</v>
      </c>
      <c r="L31" s="38">
        <v>5.3999999999999999E-2</v>
      </c>
      <c r="M31" s="38">
        <v>6.0999999999999999E-2</v>
      </c>
      <c r="N31" s="17">
        <v>3.07</v>
      </c>
      <c r="O31" s="17">
        <v>4.5999999999999999E-3</v>
      </c>
      <c r="P31" s="17">
        <v>2.29</v>
      </c>
      <c r="Q31" s="17">
        <v>1.86</v>
      </c>
      <c r="R31" s="17">
        <v>0.94599999999999995</v>
      </c>
      <c r="S31" s="17">
        <v>0.81</v>
      </c>
      <c r="T31" s="17">
        <v>20081231</v>
      </c>
      <c r="U31" s="17">
        <v>20190731</v>
      </c>
      <c r="V31" s="17">
        <v>128</v>
      </c>
    </row>
    <row r="32" spans="1:22" hidden="1">
      <c r="A32" s="17" t="s">
        <v>1495</v>
      </c>
      <c r="B32" s="38">
        <v>9.9900000000000003E-2</v>
      </c>
      <c r="C32" s="38">
        <v>6.2300000000000001E-2</v>
      </c>
      <c r="D32" s="38">
        <v>9.6100000000000005E-2</v>
      </c>
      <c r="E32" s="38">
        <v>6.8500000000000005E-2</v>
      </c>
      <c r="F32" s="38">
        <v>6.6699999999999995E-2</v>
      </c>
      <c r="G32" s="38">
        <v>0.1205</v>
      </c>
      <c r="H32" s="38">
        <v>9.7000000000000003E-2</v>
      </c>
      <c r="I32" s="38">
        <v>0.14149999999999999</v>
      </c>
      <c r="J32" s="38">
        <v>9.0800000000000006E-2</v>
      </c>
      <c r="K32" s="38">
        <v>7.7100000000000002E-2</v>
      </c>
      <c r="L32" s="38">
        <v>8.0399999999999999E-2</v>
      </c>
      <c r="M32" s="38">
        <v>9.0999999999999998E-2</v>
      </c>
      <c r="N32" s="17">
        <v>3.76</v>
      </c>
      <c r="O32" s="17">
        <v>5.5999999999999999E-3</v>
      </c>
      <c r="P32" s="17">
        <v>2.19</v>
      </c>
      <c r="Q32" s="17">
        <v>2.58</v>
      </c>
      <c r="R32" s="17">
        <v>0.97199999999999998</v>
      </c>
      <c r="S32" s="17">
        <v>0.39</v>
      </c>
      <c r="T32" s="17">
        <v>20081231</v>
      </c>
      <c r="U32" s="17">
        <v>20190731</v>
      </c>
      <c r="V32" s="17">
        <v>128</v>
      </c>
    </row>
    <row r="33" spans="1:22" hidden="1">
      <c r="A33" s="17" t="s">
        <v>1496</v>
      </c>
      <c r="B33" s="38">
        <v>4.6300000000000001E-2</v>
      </c>
      <c r="C33" s="38">
        <v>3.3700000000000001E-2</v>
      </c>
      <c r="D33" s="38">
        <v>7.1099999999999997E-2</v>
      </c>
      <c r="E33" s="38">
        <v>4.8000000000000001E-2</v>
      </c>
      <c r="F33" s="38">
        <v>4.58E-2</v>
      </c>
      <c r="G33" s="38">
        <v>0.10390000000000001</v>
      </c>
      <c r="H33" s="38">
        <v>1.1900000000000001E-2</v>
      </c>
      <c r="I33" s="38">
        <v>0.11550000000000001</v>
      </c>
      <c r="J33" s="38">
        <v>8.1799999999999998E-2</v>
      </c>
      <c r="K33" s="38">
        <v>8.1699999999999995E-2</v>
      </c>
      <c r="L33" s="38">
        <v>6.8099999999999994E-2</v>
      </c>
      <c r="M33" s="38">
        <v>6.4000000000000001E-2</v>
      </c>
      <c r="N33" s="17">
        <v>2.15</v>
      </c>
      <c r="O33" s="17">
        <v>3.7000000000000002E-3</v>
      </c>
      <c r="P33" s="17">
        <v>1.1200000000000001</v>
      </c>
      <c r="Q33" s="17">
        <v>1.82</v>
      </c>
      <c r="R33" s="17">
        <v>0.999</v>
      </c>
      <c r="S33" s="17">
        <v>0.97</v>
      </c>
      <c r="T33" s="17">
        <v>20081231</v>
      </c>
      <c r="U33" s="17">
        <v>20190731</v>
      </c>
      <c r="V33" s="17">
        <v>128</v>
      </c>
    </row>
    <row r="34" spans="1:22" hidden="1">
      <c r="A34" s="17" t="s">
        <v>1497</v>
      </c>
      <c r="B34" s="38">
        <v>9.9500000000000005E-2</v>
      </c>
      <c r="C34" s="38">
        <v>6.3700000000000007E-2</v>
      </c>
      <c r="D34" s="38">
        <v>9.7299999999999998E-2</v>
      </c>
      <c r="E34" s="38">
        <v>6.83E-2</v>
      </c>
      <c r="F34" s="38">
        <v>6.88E-2</v>
      </c>
      <c r="G34" s="38">
        <v>0.1208</v>
      </c>
      <c r="H34" s="38">
        <v>9.5500000000000002E-2</v>
      </c>
      <c r="I34" s="38">
        <v>0.14299999999999999</v>
      </c>
      <c r="J34" s="38">
        <v>9.1399999999999995E-2</v>
      </c>
      <c r="K34" s="38">
        <v>7.6200000000000004E-2</v>
      </c>
      <c r="L34" s="38">
        <v>8.0399999999999999E-2</v>
      </c>
      <c r="M34" s="38">
        <v>9.1999999999999998E-2</v>
      </c>
      <c r="N34" s="17">
        <v>3.8</v>
      </c>
      <c r="O34" s="17">
        <v>5.5999999999999999E-3</v>
      </c>
      <c r="P34" s="17">
        <v>2.21</v>
      </c>
      <c r="Q34" s="17">
        <v>2.59</v>
      </c>
      <c r="R34" s="17">
        <v>0.97199999999999998</v>
      </c>
      <c r="S34" s="17">
        <v>0.39</v>
      </c>
      <c r="T34" s="17">
        <v>20081231</v>
      </c>
      <c r="U34" s="17">
        <v>20190731</v>
      </c>
      <c r="V34" s="17">
        <v>128</v>
      </c>
    </row>
    <row r="35" spans="1:22" hidden="1">
      <c r="A35" s="17" t="s">
        <v>1498</v>
      </c>
      <c r="B35" s="38">
        <v>3.3700000000000001E-2</v>
      </c>
      <c r="C35" s="38">
        <v>1.29E-2</v>
      </c>
      <c r="D35" s="38">
        <v>5.3400000000000003E-2</v>
      </c>
      <c r="E35" s="38">
        <v>4.4200000000000003E-2</v>
      </c>
      <c r="F35" s="38">
        <v>4.24E-2</v>
      </c>
      <c r="G35" s="38">
        <v>9.3799999999999994E-2</v>
      </c>
      <c r="H35" s="38">
        <v>2.8999999999999998E-3</v>
      </c>
      <c r="I35" s="38">
        <v>0.10340000000000001</v>
      </c>
      <c r="J35" s="38">
        <v>8.1699999999999995E-2</v>
      </c>
      <c r="K35" s="38">
        <v>7.3300000000000004E-2</v>
      </c>
      <c r="L35" s="38">
        <v>6.4399999999999999E-2</v>
      </c>
      <c r="M35" s="38">
        <v>5.5E-2</v>
      </c>
      <c r="N35" s="17">
        <v>1.93</v>
      </c>
      <c r="O35" s="17">
        <v>3.2000000000000002E-3</v>
      </c>
      <c r="P35" s="17">
        <v>0.97</v>
      </c>
      <c r="Q35" s="17">
        <v>1.55</v>
      </c>
      <c r="R35" s="17">
        <v>0.999</v>
      </c>
      <c r="S35" s="17">
        <v>0.99</v>
      </c>
      <c r="T35" s="17">
        <v>20081231</v>
      </c>
      <c r="U35" s="17">
        <v>20190731</v>
      </c>
      <c r="V35" s="17">
        <v>128</v>
      </c>
    </row>
    <row r="36" spans="1:22" hidden="1">
      <c r="A36" s="17" t="s">
        <v>1499</v>
      </c>
      <c r="B36" s="38">
        <v>6.7000000000000004E-2</v>
      </c>
      <c r="C36" s="38">
        <v>4.4200000000000003E-2</v>
      </c>
      <c r="D36" s="38">
        <v>9.2100000000000001E-2</v>
      </c>
      <c r="E36" s="38">
        <v>6.7500000000000004E-2</v>
      </c>
      <c r="F36" s="38">
        <v>5.6000000000000001E-2</v>
      </c>
      <c r="G36" s="38">
        <v>0.1076</v>
      </c>
      <c r="H36" s="38">
        <v>6.7799999999999999E-2</v>
      </c>
      <c r="I36" s="38">
        <v>0.13850000000000001</v>
      </c>
      <c r="J36" s="38">
        <v>8.5500000000000007E-2</v>
      </c>
      <c r="K36" s="38">
        <v>7.8E-2</v>
      </c>
      <c r="L36" s="38">
        <v>6.9900000000000004E-2</v>
      </c>
      <c r="M36" s="38">
        <v>0.08</v>
      </c>
      <c r="N36" s="17">
        <v>2.76</v>
      </c>
      <c r="O36" s="17">
        <v>4.5999999999999999E-3</v>
      </c>
      <c r="P36" s="17">
        <v>1.49</v>
      </c>
      <c r="Q36" s="17">
        <v>2.19</v>
      </c>
      <c r="R36" s="17">
        <v>0.98899999999999999</v>
      </c>
      <c r="S36" s="17">
        <v>0.82</v>
      </c>
      <c r="T36" s="17">
        <v>20081231</v>
      </c>
      <c r="U36" s="17">
        <v>20190731</v>
      </c>
      <c r="V36" s="17">
        <v>128</v>
      </c>
    </row>
    <row r="37" spans="1:22" hidden="1">
      <c r="A37" s="17" t="s">
        <v>1500</v>
      </c>
      <c r="B37" s="38">
        <v>4.9299999999999997E-2</v>
      </c>
      <c r="C37" s="38">
        <v>4.0300000000000002E-2</v>
      </c>
      <c r="D37" s="38">
        <v>7.6399999999999996E-2</v>
      </c>
      <c r="E37" s="38">
        <v>5.3999999999999999E-2</v>
      </c>
      <c r="F37" s="38">
        <v>4.8800000000000003E-2</v>
      </c>
      <c r="G37" s="38">
        <v>0.1041</v>
      </c>
      <c r="H37" s="38">
        <v>3.09E-2</v>
      </c>
      <c r="I37" s="38">
        <v>0.1343</v>
      </c>
      <c r="J37" s="38">
        <v>8.3500000000000005E-2</v>
      </c>
      <c r="K37" s="38">
        <v>8.4199999999999997E-2</v>
      </c>
      <c r="L37" s="38">
        <v>6.8900000000000003E-2</v>
      </c>
      <c r="M37" s="38">
        <v>7.0000000000000007E-2</v>
      </c>
      <c r="N37" s="17">
        <v>2.34</v>
      </c>
      <c r="O37" s="17">
        <v>4.0000000000000001E-3</v>
      </c>
      <c r="P37" s="17">
        <v>1.22</v>
      </c>
      <c r="Q37" s="17">
        <v>2</v>
      </c>
      <c r="R37" s="17">
        <v>0.997</v>
      </c>
      <c r="S37" s="17">
        <v>0.92</v>
      </c>
      <c r="T37" s="17">
        <v>20081231</v>
      </c>
      <c r="U37" s="17">
        <v>20190731</v>
      </c>
      <c r="V37" s="17">
        <v>128</v>
      </c>
    </row>
    <row r="38" spans="1:22" hidden="1">
      <c r="A38" s="17" t="s">
        <v>1501</v>
      </c>
      <c r="B38" s="38">
        <v>9.2100000000000001E-2</v>
      </c>
      <c r="C38" s="38">
        <v>6.1699999999999998E-2</v>
      </c>
      <c r="D38" s="38">
        <v>9.7900000000000001E-2</v>
      </c>
      <c r="E38" s="38">
        <v>6.6299999999999998E-2</v>
      </c>
      <c r="F38" s="38">
        <v>6.5500000000000003E-2</v>
      </c>
      <c r="G38" s="38">
        <v>0.1242</v>
      </c>
      <c r="H38" s="38">
        <v>0.10390000000000001</v>
      </c>
      <c r="I38" s="38">
        <v>0.14480000000000001</v>
      </c>
      <c r="J38" s="38">
        <v>8.9899999999999994E-2</v>
      </c>
      <c r="K38" s="38">
        <v>8.1799999999999998E-2</v>
      </c>
      <c r="L38" s="38">
        <v>8.5599999999999996E-2</v>
      </c>
      <c r="M38" s="38">
        <v>9.1999999999999998E-2</v>
      </c>
      <c r="N38" s="17">
        <v>3.67</v>
      </c>
      <c r="O38" s="17">
        <v>5.7999999999999996E-3</v>
      </c>
      <c r="P38" s="17">
        <v>2.11</v>
      </c>
      <c r="Q38" s="17">
        <v>2.64</v>
      </c>
      <c r="R38" s="17">
        <v>0.999</v>
      </c>
      <c r="S38" s="17">
        <v>0.38</v>
      </c>
      <c r="T38" s="17">
        <v>20081231</v>
      </c>
      <c r="U38" s="17">
        <v>20190731</v>
      </c>
      <c r="V38" s="17">
        <v>128</v>
      </c>
    </row>
    <row r="39" spans="1:22" hidden="1">
      <c r="A39" s="17" t="s">
        <v>1502</v>
      </c>
      <c r="B39" s="38">
        <v>9.64E-2</v>
      </c>
      <c r="C39" s="38">
        <v>6.1899999999999997E-2</v>
      </c>
      <c r="D39" s="38">
        <v>7.9399999999999998E-2</v>
      </c>
      <c r="E39" s="38">
        <v>6.5500000000000003E-2</v>
      </c>
      <c r="F39" s="38">
        <v>6.4399999999999999E-2</v>
      </c>
      <c r="G39" s="38">
        <v>9.3200000000000005E-2</v>
      </c>
      <c r="H39" s="38">
        <v>0.1009</v>
      </c>
      <c r="I39" s="38">
        <v>9.8900000000000002E-2</v>
      </c>
      <c r="J39" s="38">
        <v>6.4899999999999999E-2</v>
      </c>
      <c r="K39" s="38">
        <v>6.0999999999999999E-2</v>
      </c>
      <c r="L39" s="38">
        <v>8.0399999999999999E-2</v>
      </c>
      <c r="M39" s="38">
        <v>7.9000000000000001E-2</v>
      </c>
      <c r="N39" s="17">
        <v>4.66</v>
      </c>
      <c r="O39" s="17">
        <v>4.7999999999999996E-3</v>
      </c>
      <c r="P39" s="17">
        <v>2.84</v>
      </c>
      <c r="Q39" s="17">
        <v>2.1</v>
      </c>
      <c r="R39" s="17">
        <v>0.97299999999999998</v>
      </c>
      <c r="S39" s="17">
        <v>0.23</v>
      </c>
      <c r="T39" s="17">
        <v>20081231</v>
      </c>
      <c r="U39" s="17">
        <v>20190731</v>
      </c>
      <c r="V39" s="17">
        <v>128</v>
      </c>
    </row>
    <row r="40" spans="1:22" hidden="1">
      <c r="A40" s="17" t="s">
        <v>1503</v>
      </c>
      <c r="B40" s="38">
        <v>3.9800000000000002E-2</v>
      </c>
      <c r="C40" s="38">
        <v>3.2599999999999997E-2</v>
      </c>
      <c r="D40" s="38">
        <v>5.7700000000000001E-2</v>
      </c>
      <c r="E40" s="38">
        <v>3.8600000000000002E-2</v>
      </c>
      <c r="F40" s="38">
        <v>4.2099999999999999E-2</v>
      </c>
      <c r="G40" s="38">
        <v>8.14E-2</v>
      </c>
      <c r="H40" s="38">
        <v>4.4999999999999998E-2</v>
      </c>
      <c r="I40" s="38">
        <v>8.0799999999999997E-2</v>
      </c>
      <c r="J40" s="38">
        <v>5.7299999999999997E-2</v>
      </c>
      <c r="K40" s="38">
        <v>6.4899999999999999E-2</v>
      </c>
      <c r="L40" s="38">
        <v>7.5499999999999998E-2</v>
      </c>
      <c r="M40" s="38">
        <v>5.5E-2</v>
      </c>
      <c r="N40" s="17">
        <v>2.5499999999999998</v>
      </c>
      <c r="O40" s="17">
        <v>3.0999999999999999E-3</v>
      </c>
      <c r="P40" s="17">
        <v>1.37</v>
      </c>
      <c r="Q40" s="17">
        <v>1.48</v>
      </c>
      <c r="R40" s="17">
        <v>0.999</v>
      </c>
      <c r="S40" s="17">
        <v>0.95</v>
      </c>
      <c r="T40" s="17">
        <v>20081231</v>
      </c>
      <c r="U40" s="17">
        <v>20190731</v>
      </c>
      <c r="V40" s="17">
        <v>128</v>
      </c>
    </row>
    <row r="41" spans="1:22" hidden="1">
      <c r="A41" s="17" t="s">
        <v>1504</v>
      </c>
      <c r="B41" s="38">
        <v>9.6600000000000005E-2</v>
      </c>
      <c r="C41" s="38">
        <v>6.4299999999999996E-2</v>
      </c>
      <c r="D41" s="38">
        <v>8.1699999999999995E-2</v>
      </c>
      <c r="E41" s="38">
        <v>6.5699999999999995E-2</v>
      </c>
      <c r="F41" s="38">
        <v>6.9699999999999998E-2</v>
      </c>
      <c r="G41" s="38">
        <v>9.2700000000000005E-2</v>
      </c>
      <c r="H41" s="38">
        <v>9.9699999999999997E-2</v>
      </c>
      <c r="I41" s="38">
        <v>0.1007</v>
      </c>
      <c r="J41" s="38">
        <v>6.8599999999999994E-2</v>
      </c>
      <c r="K41" s="38">
        <v>5.9799999999999999E-2</v>
      </c>
      <c r="L41" s="38">
        <v>8.0299999999999996E-2</v>
      </c>
      <c r="M41" s="38">
        <v>0.08</v>
      </c>
      <c r="N41" s="17">
        <v>4.78</v>
      </c>
      <c r="O41" s="17">
        <v>4.7999999999999996E-3</v>
      </c>
      <c r="P41" s="17">
        <v>2.96</v>
      </c>
      <c r="Q41" s="17">
        <v>2.12</v>
      </c>
      <c r="R41" s="17">
        <v>0.97199999999999998</v>
      </c>
      <c r="S41" s="17">
        <v>0.23</v>
      </c>
      <c r="T41" s="17">
        <v>20081231</v>
      </c>
      <c r="U41" s="17">
        <v>20190731</v>
      </c>
      <c r="V41" s="17">
        <v>128</v>
      </c>
    </row>
    <row r="42" spans="1:22" hidden="1">
      <c r="A42" s="17" t="s">
        <v>1505</v>
      </c>
      <c r="B42" s="38">
        <v>2.1999999999999999E-2</v>
      </c>
      <c r="C42" s="38">
        <v>1.8E-3</v>
      </c>
      <c r="D42" s="38">
        <v>4.07E-2</v>
      </c>
      <c r="E42" s="38">
        <v>3.5400000000000001E-2</v>
      </c>
      <c r="F42" s="38">
        <v>4.2999999999999997E-2</v>
      </c>
      <c r="G42" s="38">
        <v>6.8699999999999997E-2</v>
      </c>
      <c r="H42" s="38">
        <v>3.0200000000000001E-2</v>
      </c>
      <c r="I42" s="38">
        <v>7.22E-2</v>
      </c>
      <c r="J42" s="38">
        <v>5.2200000000000003E-2</v>
      </c>
      <c r="K42" s="38">
        <v>5.6500000000000002E-2</v>
      </c>
      <c r="L42" s="38">
        <v>7.2099999999999997E-2</v>
      </c>
      <c r="M42" s="38">
        <v>4.3999999999999997E-2</v>
      </c>
      <c r="N42" s="17">
        <v>2.21</v>
      </c>
      <c r="O42" s="17">
        <v>2.3999999999999998E-3</v>
      </c>
      <c r="P42" s="17">
        <v>1.05</v>
      </c>
      <c r="Q42" s="17">
        <v>1.1299999999999999</v>
      </c>
      <c r="R42" s="17">
        <v>0.999</v>
      </c>
      <c r="S42" s="17">
        <v>0.98</v>
      </c>
      <c r="T42" s="17">
        <v>20081231</v>
      </c>
      <c r="U42" s="17">
        <v>20190731</v>
      </c>
      <c r="V42" s="17">
        <v>128</v>
      </c>
    </row>
    <row r="43" spans="1:22" hidden="1">
      <c r="A43" s="17" t="s">
        <v>1506</v>
      </c>
      <c r="B43" s="38">
        <v>7.0000000000000007E-2</v>
      </c>
      <c r="C43" s="38">
        <v>4.7100000000000003E-2</v>
      </c>
      <c r="D43" s="38">
        <v>7.3800000000000004E-2</v>
      </c>
      <c r="E43" s="38">
        <v>6.9599999999999995E-2</v>
      </c>
      <c r="F43" s="38">
        <v>5.9200000000000003E-2</v>
      </c>
      <c r="G43" s="38">
        <v>8.8800000000000004E-2</v>
      </c>
      <c r="H43" s="38">
        <v>9.2899999999999996E-2</v>
      </c>
      <c r="I43" s="38">
        <v>0.1022</v>
      </c>
      <c r="J43" s="38">
        <v>6.4399999999999999E-2</v>
      </c>
      <c r="K43" s="38">
        <v>5.8799999999999998E-2</v>
      </c>
      <c r="L43" s="38">
        <v>8.0799999999999997E-2</v>
      </c>
      <c r="M43" s="38">
        <v>7.2999999999999995E-2</v>
      </c>
      <c r="N43" s="17">
        <v>3.66</v>
      </c>
      <c r="O43" s="17">
        <v>4.4999999999999997E-3</v>
      </c>
      <c r="P43" s="17">
        <v>2.14</v>
      </c>
      <c r="Q43" s="17">
        <v>1.93</v>
      </c>
      <c r="R43" s="17">
        <v>0.98899999999999999</v>
      </c>
      <c r="S43" s="17">
        <v>0.74</v>
      </c>
      <c r="T43" s="17">
        <v>20081231</v>
      </c>
      <c r="U43" s="17">
        <v>20190731</v>
      </c>
      <c r="V43" s="17">
        <v>128</v>
      </c>
    </row>
    <row r="44" spans="1:22" hidden="1">
      <c r="A44" s="17" t="s">
        <v>1507</v>
      </c>
      <c r="B44" s="38">
        <v>5.4399999999999997E-2</v>
      </c>
      <c r="C44" s="38">
        <v>4.3499999999999997E-2</v>
      </c>
      <c r="D44" s="38">
        <v>5.0900000000000001E-2</v>
      </c>
      <c r="E44" s="38">
        <v>5.3900000000000003E-2</v>
      </c>
      <c r="F44" s="38">
        <v>4.2099999999999999E-2</v>
      </c>
      <c r="G44" s="38">
        <v>8.09E-2</v>
      </c>
      <c r="H44" s="38">
        <v>5.8599999999999999E-2</v>
      </c>
      <c r="I44" s="38">
        <v>0.10489999999999999</v>
      </c>
      <c r="J44" s="38">
        <v>5.4199999999999998E-2</v>
      </c>
      <c r="K44" s="38">
        <v>6.6500000000000004E-2</v>
      </c>
      <c r="L44" s="38">
        <v>7.6600000000000001E-2</v>
      </c>
      <c r="M44" s="38">
        <v>6.2E-2</v>
      </c>
      <c r="N44" s="17">
        <v>2.89</v>
      </c>
      <c r="O44" s="17">
        <v>3.7000000000000002E-3</v>
      </c>
      <c r="P44" s="17">
        <v>1.63</v>
      </c>
      <c r="Q44" s="17">
        <v>1.67</v>
      </c>
      <c r="R44" s="17">
        <v>0.997</v>
      </c>
      <c r="S44" s="17">
        <v>0.89</v>
      </c>
      <c r="T44" s="17">
        <v>20081231</v>
      </c>
      <c r="U44" s="17">
        <v>20190731</v>
      </c>
      <c r="V44" s="17">
        <v>128</v>
      </c>
    </row>
    <row r="45" spans="1:22" hidden="1">
      <c r="A45" s="17" t="s">
        <v>1508</v>
      </c>
      <c r="B45" s="38">
        <v>7.0400000000000004E-2</v>
      </c>
      <c r="C45" s="38">
        <v>4.8500000000000001E-2</v>
      </c>
      <c r="D45" s="38">
        <v>8.3599999999999994E-2</v>
      </c>
      <c r="E45" s="38">
        <v>6.4299999999999996E-2</v>
      </c>
      <c r="F45" s="38">
        <v>6.7100000000000007E-2</v>
      </c>
      <c r="G45" s="38">
        <v>8.6499999999999994E-2</v>
      </c>
      <c r="H45" s="38">
        <v>8.7400000000000005E-2</v>
      </c>
      <c r="I45" s="38">
        <v>0.1246</v>
      </c>
      <c r="J45" s="38">
        <v>7.2900000000000006E-2</v>
      </c>
      <c r="K45" s="38">
        <v>9.3700000000000006E-2</v>
      </c>
      <c r="L45" s="38">
        <v>7.4800000000000005E-2</v>
      </c>
      <c r="M45" s="38">
        <v>0.08</v>
      </c>
      <c r="N45" s="17">
        <v>3.39</v>
      </c>
      <c r="O45" s="17">
        <v>5.1999999999999998E-3</v>
      </c>
      <c r="P45" s="17">
        <v>2.27</v>
      </c>
      <c r="Q45" s="17">
        <v>2.5299999999999998</v>
      </c>
      <c r="R45" s="17">
        <v>0.999</v>
      </c>
      <c r="S45" s="17">
        <v>0.92</v>
      </c>
      <c r="T45" s="17">
        <v>20081231</v>
      </c>
      <c r="U45" s="17">
        <v>20190731</v>
      </c>
      <c r="V45" s="17">
        <v>128</v>
      </c>
    </row>
    <row r="46" spans="1:22" hidden="1">
      <c r="A46" s="17" t="s">
        <v>1509</v>
      </c>
      <c r="B46" s="38">
        <v>4.7600000000000003E-2</v>
      </c>
      <c r="C46" s="38">
        <v>-2.6599999999999999E-2</v>
      </c>
      <c r="D46" s="38">
        <v>1.9800000000000002E-2</v>
      </c>
      <c r="E46" s="38">
        <v>1.6799999999999999E-2</v>
      </c>
      <c r="F46" s="38">
        <v>-4.0599999999999997E-2</v>
      </c>
      <c r="G46" s="38">
        <v>8.7800000000000003E-2</v>
      </c>
      <c r="H46" s="38">
        <v>1.7399999999999999E-2</v>
      </c>
      <c r="I46" s="38">
        <v>5.16E-2</v>
      </c>
      <c r="J46" s="38">
        <v>8.9999999999999993E-3</v>
      </c>
      <c r="K46" s="38">
        <v>1.9300000000000001E-2</v>
      </c>
      <c r="L46" s="38">
        <v>2.3099999999999999E-2</v>
      </c>
      <c r="M46" s="38">
        <v>0.02</v>
      </c>
      <c r="N46" s="17">
        <v>0.6</v>
      </c>
      <c r="O46" s="17">
        <v>1.4E-3</v>
      </c>
      <c r="P46" s="17">
        <v>0.41</v>
      </c>
      <c r="Q46" s="17">
        <v>0.49</v>
      </c>
      <c r="R46" s="17">
        <v>0.999</v>
      </c>
      <c r="S46" s="17">
        <v>0.98</v>
      </c>
      <c r="T46" s="17">
        <v>20081231</v>
      </c>
      <c r="U46" s="17">
        <v>20190731</v>
      </c>
      <c r="V46" s="17">
        <v>128</v>
      </c>
    </row>
    <row r="47" spans="1:22" hidden="1">
      <c r="A47" s="17" t="s">
        <v>1510</v>
      </c>
      <c r="B47" s="38">
        <v>4.9299999999999997E-2</v>
      </c>
      <c r="C47" s="38">
        <v>3.49E-2</v>
      </c>
      <c r="D47" s="38">
        <v>5.8799999999999998E-2</v>
      </c>
      <c r="E47" s="38">
        <v>5.6099999999999997E-2</v>
      </c>
      <c r="F47" s="38">
        <v>3.8600000000000002E-2</v>
      </c>
      <c r="G47" s="38">
        <v>4.5199999999999997E-2</v>
      </c>
      <c r="H47" s="38">
        <v>2.7799999999999998E-2</v>
      </c>
      <c r="I47" s="38">
        <v>8.6699999999999999E-2</v>
      </c>
      <c r="J47" s="38">
        <v>3.3799999999999997E-2</v>
      </c>
      <c r="K47" s="38">
        <v>4.8000000000000001E-2</v>
      </c>
      <c r="L47" s="38">
        <v>2.58E-2</v>
      </c>
      <c r="M47" s="38">
        <v>4.7E-2</v>
      </c>
      <c r="N47" s="17">
        <v>2.2000000000000002</v>
      </c>
      <c r="O47" s="17">
        <v>2.2000000000000001E-3</v>
      </c>
      <c r="P47" s="17">
        <v>1.06</v>
      </c>
      <c r="Q47" s="17">
        <v>1.1299999999999999</v>
      </c>
      <c r="R47" s="17">
        <v>0.97199999999999998</v>
      </c>
      <c r="S47" s="17">
        <v>0.56000000000000005</v>
      </c>
      <c r="T47" s="17">
        <v>20081231</v>
      </c>
      <c r="U47" s="17">
        <v>20190731</v>
      </c>
      <c r="V47" s="17">
        <v>128</v>
      </c>
    </row>
    <row r="48" spans="1:22" hidden="1">
      <c r="A48" s="17" t="s">
        <v>1604</v>
      </c>
      <c r="B48" s="38">
        <v>-8.2199999999999995E-2</v>
      </c>
      <c r="C48" s="38">
        <v>1.11E-2</v>
      </c>
      <c r="D48" s="38">
        <v>-6.4399999999999999E-2</v>
      </c>
      <c r="E48" s="38">
        <v>-1.8599999999999998E-2</v>
      </c>
      <c r="F48" s="38">
        <v>3.3300000000000003E-2</v>
      </c>
      <c r="G48" s="38">
        <v>-2.1399999999999999E-2</v>
      </c>
      <c r="H48" s="38">
        <v>-0.1158</v>
      </c>
      <c r="I48" s="38">
        <v>-5.1799999999999999E-2</v>
      </c>
      <c r="J48" s="38">
        <v>3.1199999999999999E-2</v>
      </c>
      <c r="K48" s="38">
        <v>8.6999999999999994E-3</v>
      </c>
      <c r="L48" s="38">
        <v>-2.3999999999999998E-3</v>
      </c>
      <c r="M48" s="38">
        <v>-2.5000000000000001E-2</v>
      </c>
      <c r="N48" s="17">
        <v>-0.79</v>
      </c>
      <c r="O48" s="17">
        <v>-1.6000000000000001E-3</v>
      </c>
      <c r="P48" s="17">
        <v>-0.5</v>
      </c>
      <c r="Q48" s="17">
        <v>-0.5</v>
      </c>
      <c r="R48" s="17">
        <v>0.996</v>
      </c>
      <c r="S48" s="17">
        <v>0.8</v>
      </c>
      <c r="T48" s="17">
        <v>20081231</v>
      </c>
      <c r="U48" s="17">
        <v>20190731</v>
      </c>
      <c r="V48" s="17">
        <v>128</v>
      </c>
    </row>
    <row r="49" spans="1:22" hidden="1">
      <c r="A49" s="17" t="s">
        <v>1511</v>
      </c>
      <c r="B49" s="38">
        <v>0.11210000000000001</v>
      </c>
      <c r="C49" s="38">
        <v>3.8300000000000001E-2</v>
      </c>
      <c r="D49" s="38">
        <v>3.5900000000000001E-2</v>
      </c>
      <c r="E49" s="38">
        <v>7.1199999999999999E-2</v>
      </c>
      <c r="F49" s="38">
        <v>4.2000000000000003E-2</v>
      </c>
      <c r="G49" s="38">
        <v>4.7899999999999998E-2</v>
      </c>
      <c r="H49" s="38">
        <v>0.12640000000000001</v>
      </c>
      <c r="I49" s="38">
        <v>6.3299999999999995E-2</v>
      </c>
      <c r="J49" s="38">
        <v>2.7099999999999999E-2</v>
      </c>
      <c r="K49" s="38">
        <v>4.5400000000000003E-2</v>
      </c>
      <c r="L49" s="38">
        <v>8.6300000000000002E-2</v>
      </c>
      <c r="M49" s="38">
        <v>6.3E-2</v>
      </c>
      <c r="N49" s="17">
        <v>2.39</v>
      </c>
      <c r="O49" s="17">
        <v>4.7999999999999996E-3</v>
      </c>
      <c r="P49" s="17">
        <v>1.72</v>
      </c>
      <c r="Q49" s="17">
        <v>1.94</v>
      </c>
      <c r="R49" s="17">
        <v>0.95</v>
      </c>
      <c r="S49" s="17">
        <v>-0.03</v>
      </c>
      <c r="T49" s="17">
        <v>20081231</v>
      </c>
      <c r="U49" s="17">
        <v>20190731</v>
      </c>
      <c r="V49" s="17">
        <v>128</v>
      </c>
    </row>
    <row r="50" spans="1:22" hidden="1">
      <c r="A50" s="17" t="s">
        <v>1512</v>
      </c>
      <c r="B50" s="38">
        <v>8.9099999999999999E-2</v>
      </c>
      <c r="C50" s="38">
        <v>3.9800000000000002E-2</v>
      </c>
      <c r="D50" s="38">
        <v>5.4100000000000002E-2</v>
      </c>
      <c r="E50" s="38">
        <v>7.5399999999999995E-2</v>
      </c>
      <c r="F50" s="38">
        <v>1.9E-2</v>
      </c>
      <c r="G50" s="38">
        <v>9.0300000000000005E-2</v>
      </c>
      <c r="H50" s="38">
        <v>0.14319999999999999</v>
      </c>
      <c r="I50" s="38">
        <v>5.8000000000000003E-2</v>
      </c>
      <c r="J50" s="38">
        <v>1.9300000000000001E-2</v>
      </c>
      <c r="K50" s="38">
        <v>3.7699999999999997E-2</v>
      </c>
      <c r="L50" s="38">
        <v>6.88E-2</v>
      </c>
      <c r="M50" s="38">
        <v>6.3E-2</v>
      </c>
      <c r="N50" s="17">
        <v>2.12</v>
      </c>
      <c r="O50" s="17">
        <v>4.5999999999999999E-3</v>
      </c>
      <c r="P50" s="17">
        <v>1.51</v>
      </c>
      <c r="Q50" s="17">
        <v>1.88</v>
      </c>
      <c r="R50" s="17">
        <v>0.90200000000000002</v>
      </c>
      <c r="S50" s="17">
        <v>0.45</v>
      </c>
      <c r="T50" s="17">
        <v>20081231</v>
      </c>
      <c r="U50" s="17">
        <v>20190731</v>
      </c>
      <c r="V50" s="17">
        <v>128</v>
      </c>
    </row>
    <row r="51" spans="1:22" hidden="1">
      <c r="A51" s="17" t="s">
        <v>1513</v>
      </c>
      <c r="B51" s="38">
        <v>7.5200000000000003E-2</v>
      </c>
      <c r="C51" s="38">
        <v>4.1399999999999999E-2</v>
      </c>
      <c r="D51" s="38">
        <v>7.51E-2</v>
      </c>
      <c r="E51" s="38">
        <v>5.8200000000000002E-2</v>
      </c>
      <c r="F51" s="38">
        <v>4.65E-2</v>
      </c>
      <c r="G51" s="38">
        <v>6.8400000000000002E-2</v>
      </c>
      <c r="H51" s="38">
        <v>0.1027</v>
      </c>
      <c r="I51" s="38">
        <v>9.7799999999999998E-2</v>
      </c>
      <c r="J51" s="38">
        <v>3.8600000000000002E-2</v>
      </c>
      <c r="K51" s="38">
        <v>3.9800000000000002E-2</v>
      </c>
      <c r="L51" s="38">
        <v>3.0499999999999999E-2</v>
      </c>
      <c r="M51" s="38">
        <v>6.2E-2</v>
      </c>
      <c r="N51" s="17">
        <v>2.82</v>
      </c>
      <c r="O51" s="17">
        <v>4.4999999999999997E-3</v>
      </c>
      <c r="P51" s="17">
        <v>1.81</v>
      </c>
      <c r="Q51" s="17">
        <v>2.06</v>
      </c>
      <c r="R51" s="17">
        <v>0.90500000000000003</v>
      </c>
      <c r="S51" s="17">
        <v>0.55000000000000004</v>
      </c>
      <c r="T51" s="17">
        <v>20081231</v>
      </c>
      <c r="U51" s="17">
        <v>20190731</v>
      </c>
      <c r="V51" s="17">
        <v>128</v>
      </c>
    </row>
    <row r="52" spans="1:22" hidden="1">
      <c r="A52" s="17" t="s">
        <v>1514</v>
      </c>
      <c r="B52" s="38">
        <v>8.5099999999999995E-2</v>
      </c>
      <c r="C52" s="38">
        <v>5.2999999999999999E-2</v>
      </c>
      <c r="D52" s="38">
        <v>5.4899999999999997E-2</v>
      </c>
      <c r="E52" s="38">
        <v>3.1800000000000002E-2</v>
      </c>
      <c r="F52" s="38">
        <v>4.19E-2</v>
      </c>
      <c r="G52" s="38">
        <v>6.3100000000000003E-2</v>
      </c>
      <c r="H52" s="38">
        <v>9.4399999999999998E-2</v>
      </c>
      <c r="I52" s="38">
        <v>5.1700000000000003E-2</v>
      </c>
      <c r="J52" s="38">
        <v>2.9600000000000001E-2</v>
      </c>
      <c r="K52" s="38">
        <v>2.6800000000000001E-2</v>
      </c>
      <c r="L52" s="38">
        <v>4.9500000000000002E-2</v>
      </c>
      <c r="M52" s="38">
        <v>5.2999999999999999E-2</v>
      </c>
      <c r="N52" s="17">
        <v>2.71</v>
      </c>
      <c r="O52" s="17">
        <v>4.4999999999999997E-3</v>
      </c>
      <c r="P52" s="17">
        <v>2.15</v>
      </c>
      <c r="Q52" s="17">
        <v>1.86</v>
      </c>
      <c r="R52" s="17">
        <v>0.92100000000000004</v>
      </c>
      <c r="S52" s="17">
        <v>0.12</v>
      </c>
      <c r="T52" s="17">
        <v>20081231</v>
      </c>
      <c r="U52" s="17">
        <v>20190731</v>
      </c>
      <c r="V52" s="17">
        <v>128</v>
      </c>
    </row>
    <row r="53" spans="1:22" hidden="1">
      <c r="A53" s="17" t="s">
        <v>1515</v>
      </c>
      <c r="B53" s="38">
        <v>6.1800000000000001E-2</v>
      </c>
      <c r="C53" s="38">
        <v>4.7500000000000001E-2</v>
      </c>
      <c r="D53" s="38">
        <v>5.7299999999999997E-2</v>
      </c>
      <c r="E53" s="38">
        <v>5.3699999999999998E-2</v>
      </c>
      <c r="F53" s="38">
        <v>5.8799999999999998E-2</v>
      </c>
      <c r="G53" s="38">
        <v>5.6500000000000002E-2</v>
      </c>
      <c r="H53" s="38">
        <v>6.7199999999999996E-2</v>
      </c>
      <c r="I53" s="38">
        <v>9.3200000000000005E-2</v>
      </c>
      <c r="J53" s="38">
        <v>4.65E-2</v>
      </c>
      <c r="K53" s="38">
        <v>4.6199999999999998E-2</v>
      </c>
      <c r="L53" s="38">
        <v>3.6499999999999998E-2</v>
      </c>
      <c r="M53" s="38">
        <v>5.7000000000000002E-2</v>
      </c>
      <c r="N53" s="17">
        <v>2.7</v>
      </c>
      <c r="O53" s="17">
        <v>4.0000000000000001E-3</v>
      </c>
      <c r="P53" s="17">
        <v>1.7</v>
      </c>
      <c r="Q53" s="17">
        <v>1.94</v>
      </c>
      <c r="R53" s="17">
        <v>0.90500000000000003</v>
      </c>
      <c r="S53" s="17">
        <v>0.55000000000000004</v>
      </c>
      <c r="T53" s="17">
        <v>20081231</v>
      </c>
      <c r="U53" s="17">
        <v>20190731</v>
      </c>
      <c r="V53" s="17">
        <v>128</v>
      </c>
    </row>
    <row r="54" spans="1:22" hidden="1">
      <c r="A54" s="17" t="s">
        <v>1516</v>
      </c>
      <c r="B54" s="38">
        <v>0.08</v>
      </c>
      <c r="C54" s="38">
        <v>4.6600000000000003E-2</v>
      </c>
      <c r="D54" s="38">
        <v>4.8800000000000003E-2</v>
      </c>
      <c r="E54" s="38">
        <v>2.47E-2</v>
      </c>
      <c r="F54" s="38">
        <v>4.58E-2</v>
      </c>
      <c r="G54" s="38">
        <v>5.0500000000000003E-2</v>
      </c>
      <c r="H54" s="38">
        <v>5.6099999999999997E-2</v>
      </c>
      <c r="I54" s="38">
        <v>4.8899999999999999E-2</v>
      </c>
      <c r="J54" s="38">
        <v>3.1600000000000003E-2</v>
      </c>
      <c r="K54" s="38">
        <v>2.7199999999999998E-2</v>
      </c>
      <c r="L54" s="38">
        <v>4.7800000000000002E-2</v>
      </c>
      <c r="M54" s="38">
        <v>4.5999999999999999E-2</v>
      </c>
      <c r="N54" s="17">
        <v>2.54</v>
      </c>
      <c r="O54" s="17">
        <v>3.8E-3</v>
      </c>
      <c r="P54" s="17">
        <v>1.88</v>
      </c>
      <c r="Q54" s="17">
        <v>1.61</v>
      </c>
      <c r="R54" s="17">
        <v>0.92100000000000004</v>
      </c>
      <c r="S54" s="17">
        <v>0.13</v>
      </c>
      <c r="T54" s="17">
        <v>20081231</v>
      </c>
      <c r="U54" s="17">
        <v>20190731</v>
      </c>
      <c r="V54" s="17">
        <v>128</v>
      </c>
    </row>
    <row r="55" spans="1:22" hidden="1">
      <c r="A55" s="17" t="s">
        <v>1517</v>
      </c>
      <c r="B55" s="38">
        <v>7.4099999999999999E-2</v>
      </c>
      <c r="C55" s="38">
        <v>4.4499999999999998E-2</v>
      </c>
      <c r="D55" s="38">
        <v>6.5500000000000003E-2</v>
      </c>
      <c r="E55" s="38">
        <v>6.6299999999999998E-2</v>
      </c>
      <c r="F55" s="38">
        <v>5.5300000000000002E-2</v>
      </c>
      <c r="G55" s="38">
        <v>0.1065</v>
      </c>
      <c r="H55" s="38">
        <v>5.91E-2</v>
      </c>
      <c r="I55" s="38">
        <v>0.1181</v>
      </c>
      <c r="J55" s="38">
        <v>8.3500000000000005E-2</v>
      </c>
      <c r="K55" s="38">
        <v>6.3200000000000006E-2</v>
      </c>
      <c r="L55" s="38">
        <v>6.54E-2</v>
      </c>
      <c r="M55" s="38">
        <v>7.2999999999999995E-2</v>
      </c>
      <c r="N55" s="17">
        <v>3.51</v>
      </c>
      <c r="O55" s="17">
        <v>4.3E-3</v>
      </c>
      <c r="P55" s="17">
        <v>2.04</v>
      </c>
      <c r="Q55" s="17">
        <v>2.06</v>
      </c>
      <c r="R55" s="17">
        <v>0.95</v>
      </c>
      <c r="S55" s="17">
        <v>0.22</v>
      </c>
      <c r="T55" s="17">
        <v>20081231</v>
      </c>
      <c r="U55" s="17">
        <v>20190731</v>
      </c>
      <c r="V55" s="17">
        <v>128</v>
      </c>
    </row>
    <row r="56" spans="1:22" hidden="1">
      <c r="A56" s="17" t="s">
        <v>1518</v>
      </c>
      <c r="B56" s="38">
        <v>5.4899999999999997E-2</v>
      </c>
      <c r="C56" s="38">
        <v>4.1000000000000002E-2</v>
      </c>
      <c r="D56" s="38">
        <v>8.2000000000000003E-2</v>
      </c>
      <c r="E56" s="38">
        <v>7.2999999999999995E-2</v>
      </c>
      <c r="F56" s="38">
        <v>5.2900000000000003E-2</v>
      </c>
      <c r="G56" s="38">
        <v>0.10299999999999999</v>
      </c>
      <c r="H56" s="38">
        <v>9.1600000000000001E-2</v>
      </c>
      <c r="I56" s="38">
        <v>0.12790000000000001</v>
      </c>
      <c r="J56" s="38">
        <v>8.72E-2</v>
      </c>
      <c r="K56" s="38">
        <v>7.0499999999999993E-2</v>
      </c>
      <c r="L56" s="38">
        <v>6.4799999999999996E-2</v>
      </c>
      <c r="M56" s="38">
        <v>7.8E-2</v>
      </c>
      <c r="N56" s="17">
        <v>3.03</v>
      </c>
      <c r="O56" s="17">
        <v>4.3E-3</v>
      </c>
      <c r="P56" s="17">
        <v>1.72</v>
      </c>
      <c r="Q56" s="17">
        <v>2.0699999999999998</v>
      </c>
      <c r="R56" s="17">
        <v>0.94799999999999995</v>
      </c>
      <c r="S56" s="17">
        <v>0.75</v>
      </c>
      <c r="T56" s="17">
        <v>20081231</v>
      </c>
      <c r="U56" s="17">
        <v>20190731</v>
      </c>
      <c r="V56" s="17">
        <v>128</v>
      </c>
    </row>
    <row r="57" spans="1:22" hidden="1">
      <c r="A57" s="17" t="s">
        <v>1519</v>
      </c>
      <c r="B57" s="38">
        <v>4.7899999999999998E-2</v>
      </c>
      <c r="C57" s="38">
        <v>3.49E-2</v>
      </c>
      <c r="D57" s="38">
        <v>7.5499999999999998E-2</v>
      </c>
      <c r="E57" s="38">
        <v>6.6500000000000004E-2</v>
      </c>
      <c r="F57" s="38">
        <v>5.57E-2</v>
      </c>
      <c r="G57" s="38">
        <v>9.2299999999999993E-2</v>
      </c>
      <c r="H57" s="38">
        <v>5.9499999999999997E-2</v>
      </c>
      <c r="I57" s="38">
        <v>0.1101</v>
      </c>
      <c r="J57" s="38">
        <v>8.4699999999999998E-2</v>
      </c>
      <c r="K57" s="38">
        <v>7.1599999999999997E-2</v>
      </c>
      <c r="L57" s="38">
        <v>7.0599999999999996E-2</v>
      </c>
      <c r="M57" s="38">
        <v>7.0000000000000007E-2</v>
      </c>
      <c r="N57" s="17">
        <v>2.8</v>
      </c>
      <c r="O57" s="17">
        <v>4.1000000000000003E-3</v>
      </c>
      <c r="P57" s="17">
        <v>1.62</v>
      </c>
      <c r="Q57" s="17">
        <v>1.94</v>
      </c>
      <c r="R57" s="17">
        <v>0.94599999999999995</v>
      </c>
      <c r="S57" s="17">
        <v>0.88</v>
      </c>
      <c r="T57" s="17">
        <v>20081231</v>
      </c>
      <c r="U57" s="17">
        <v>20190731</v>
      </c>
      <c r="V57" s="17">
        <v>128</v>
      </c>
    </row>
    <row r="58" spans="1:22">
      <c r="A58" s="17" t="s">
        <v>1520</v>
      </c>
      <c r="B58" s="38">
        <v>0.1024</v>
      </c>
      <c r="C58" s="38">
        <v>5.2200000000000003E-2</v>
      </c>
      <c r="D58" s="38">
        <v>4.65E-2</v>
      </c>
      <c r="E58" s="38">
        <v>8.1000000000000003E-2</v>
      </c>
      <c r="F58" s="38">
        <v>5.4300000000000001E-2</v>
      </c>
      <c r="G58" s="38">
        <v>5.6500000000000002E-2</v>
      </c>
      <c r="H58" s="38">
        <v>0.1242</v>
      </c>
      <c r="I58" s="38">
        <v>5.0900000000000001E-2</v>
      </c>
      <c r="J58" s="38">
        <v>4.0500000000000001E-2</v>
      </c>
      <c r="K58" s="38">
        <v>5.8799999999999998E-2</v>
      </c>
      <c r="L58" s="38">
        <v>7.3300000000000004E-2</v>
      </c>
      <c r="M58" s="38">
        <v>6.7000000000000004E-2</v>
      </c>
      <c r="N58" s="17">
        <v>2.74</v>
      </c>
      <c r="O58" s="17">
        <v>4.8999999999999998E-3</v>
      </c>
      <c r="P58" s="17">
        <v>1.87</v>
      </c>
      <c r="Q58" s="17">
        <v>2.04</v>
      </c>
      <c r="R58" s="17">
        <v>0.999</v>
      </c>
      <c r="S58" s="17">
        <v>-7.0000000000000007E-2</v>
      </c>
      <c r="T58" s="17">
        <v>20081231</v>
      </c>
      <c r="U58" s="17">
        <v>20190731</v>
      </c>
      <c r="V58" s="17">
        <v>128</v>
      </c>
    </row>
    <row r="59" spans="1:22">
      <c r="A59" s="17" t="s">
        <v>1521</v>
      </c>
      <c r="B59" s="38">
        <v>8.6300000000000002E-2</v>
      </c>
      <c r="C59" s="38">
        <v>5.6599999999999998E-2</v>
      </c>
      <c r="D59" s="38">
        <v>5.6000000000000001E-2</v>
      </c>
      <c r="E59" s="38">
        <v>5.7299999999999997E-2</v>
      </c>
      <c r="F59" s="38">
        <v>4.65E-2</v>
      </c>
      <c r="G59" s="38">
        <v>4.48E-2</v>
      </c>
      <c r="H59" s="38">
        <v>0.115</v>
      </c>
      <c r="I59" s="38">
        <v>4.7399999999999998E-2</v>
      </c>
      <c r="J59" s="38">
        <v>4.0500000000000001E-2</v>
      </c>
      <c r="K59" s="38">
        <v>5.4100000000000002E-2</v>
      </c>
      <c r="L59" s="38">
        <v>6.9099999999999995E-2</v>
      </c>
      <c r="M59" s="38">
        <v>6.0999999999999999E-2</v>
      </c>
      <c r="N59" s="17">
        <v>3.02</v>
      </c>
      <c r="O59" s="17">
        <v>4.4999999999999997E-3</v>
      </c>
      <c r="P59" s="17">
        <v>2.3199999999999998</v>
      </c>
      <c r="Q59" s="17">
        <v>1.9</v>
      </c>
      <c r="R59" s="17">
        <v>0.999</v>
      </c>
      <c r="S59" s="17">
        <v>-0.06</v>
      </c>
      <c r="T59" s="17">
        <v>20081231</v>
      </c>
      <c r="U59" s="17">
        <v>20190731</v>
      </c>
      <c r="V59" s="17">
        <v>128</v>
      </c>
    </row>
    <row r="60" spans="1:22">
      <c r="A60" s="17" t="s">
        <v>1522</v>
      </c>
      <c r="B60" s="38">
        <v>9.7799999999999998E-2</v>
      </c>
      <c r="C60" s="38">
        <v>4.5100000000000001E-2</v>
      </c>
      <c r="D60" s="38">
        <v>4.9700000000000001E-2</v>
      </c>
      <c r="E60" s="38">
        <v>6.2199999999999998E-2</v>
      </c>
      <c r="F60" s="38">
        <v>4.0800000000000003E-2</v>
      </c>
      <c r="G60" s="38">
        <v>5.6500000000000002E-2</v>
      </c>
      <c r="H60" s="38">
        <v>0.12470000000000001</v>
      </c>
      <c r="I60" s="38">
        <v>5.1999999999999998E-2</v>
      </c>
      <c r="J60" s="38">
        <v>4.5499999999999999E-2</v>
      </c>
      <c r="K60" s="38">
        <v>5.8099999999999999E-2</v>
      </c>
      <c r="L60" s="38">
        <v>7.1499999999999994E-2</v>
      </c>
      <c r="M60" s="38">
        <v>6.4000000000000001E-2</v>
      </c>
      <c r="N60" s="17">
        <v>2.79</v>
      </c>
      <c r="O60" s="17">
        <v>4.7999999999999996E-3</v>
      </c>
      <c r="P60" s="17">
        <v>1.96</v>
      </c>
      <c r="Q60" s="17">
        <v>2.0499999999999998</v>
      </c>
      <c r="R60" s="17">
        <v>0.999</v>
      </c>
      <c r="S60" s="17">
        <v>-0.08</v>
      </c>
      <c r="T60" s="17">
        <v>20081231</v>
      </c>
      <c r="U60" s="17">
        <v>20190731</v>
      </c>
      <c r="V60" s="17">
        <v>128</v>
      </c>
    </row>
    <row r="61" spans="1:22" hidden="1">
      <c r="A61" s="17" t="s">
        <v>1580</v>
      </c>
      <c r="B61" s="38">
        <v>2.1299999999999999E-2</v>
      </c>
      <c r="C61" s="38">
        <v>3.5700000000000003E-2</v>
      </c>
      <c r="D61" s="38">
        <v>7.7000000000000002E-3</v>
      </c>
      <c r="E61" s="38">
        <v>2.2100000000000002E-2</v>
      </c>
      <c r="F61" s="38">
        <v>3.6299999999999999E-2</v>
      </c>
      <c r="G61" s="38">
        <v>-8.3999999999999995E-3</v>
      </c>
      <c r="H61" s="38">
        <v>2.0799999999999999E-2</v>
      </c>
      <c r="I61" s="38">
        <v>1.01E-2</v>
      </c>
      <c r="J61" s="38">
        <v>3.2300000000000002E-2</v>
      </c>
      <c r="K61" s="38">
        <v>3.2000000000000002E-3</v>
      </c>
      <c r="L61" s="38">
        <v>2.6700000000000002E-2</v>
      </c>
      <c r="M61" s="38">
        <v>1.9E-2</v>
      </c>
      <c r="N61" s="17">
        <v>1.6</v>
      </c>
      <c r="O61" s="17">
        <v>1.9E-3</v>
      </c>
      <c r="P61" s="17">
        <v>1.81</v>
      </c>
      <c r="Q61" s="17">
        <v>0.82</v>
      </c>
      <c r="R61" s="17">
        <v>0.999</v>
      </c>
      <c r="S61" s="17">
        <v>0.57999999999999996</v>
      </c>
      <c r="T61" s="17">
        <v>20081231</v>
      </c>
      <c r="U61" s="17">
        <v>20190731</v>
      </c>
      <c r="V61" s="17">
        <v>128</v>
      </c>
    </row>
    <row r="62" spans="1:22" hidden="1">
      <c r="A62" s="17" t="s">
        <v>1523</v>
      </c>
      <c r="B62" s="38">
        <v>7.3999999999999996E-2</v>
      </c>
      <c r="C62" s="38">
        <v>4.7600000000000003E-2</v>
      </c>
      <c r="D62" s="38">
        <v>6.9000000000000006E-2</v>
      </c>
      <c r="E62" s="38">
        <v>8.2100000000000006E-2</v>
      </c>
      <c r="F62" s="38">
        <v>3.9899999999999998E-2</v>
      </c>
      <c r="G62" s="38">
        <v>8.0299999999999996E-2</v>
      </c>
      <c r="H62" s="38">
        <v>0.1416</v>
      </c>
      <c r="I62" s="38">
        <v>5.6000000000000001E-2</v>
      </c>
      <c r="J62" s="38">
        <v>3.1399999999999997E-2</v>
      </c>
      <c r="K62" s="38">
        <v>2.3599999999999999E-2</v>
      </c>
      <c r="L62" s="38">
        <v>4.9200000000000001E-2</v>
      </c>
      <c r="M62" s="38">
        <v>6.4000000000000001E-2</v>
      </c>
      <c r="N62" s="17">
        <v>2.6</v>
      </c>
      <c r="O62" s="17">
        <v>4.4999999999999997E-3</v>
      </c>
      <c r="P62" s="17">
        <v>1.75</v>
      </c>
      <c r="Q62" s="17">
        <v>1.81</v>
      </c>
      <c r="R62" s="17">
        <v>0.999</v>
      </c>
      <c r="S62" s="17">
        <v>0.56000000000000005</v>
      </c>
      <c r="T62" s="17">
        <v>20081231</v>
      </c>
      <c r="U62" s="17">
        <v>20190731</v>
      </c>
      <c r="V62" s="17">
        <v>128</v>
      </c>
    </row>
    <row r="63" spans="1:22" hidden="1">
      <c r="A63" s="17" t="s">
        <v>1524</v>
      </c>
      <c r="B63" s="38">
        <v>5.6000000000000001E-2</v>
      </c>
      <c r="C63" s="38">
        <v>6.2100000000000002E-2</v>
      </c>
      <c r="D63" s="38">
        <v>7.0099999999999996E-2</v>
      </c>
      <c r="E63" s="38">
        <v>6.9099999999999995E-2</v>
      </c>
      <c r="F63" s="38">
        <v>4.4600000000000001E-2</v>
      </c>
      <c r="G63" s="38">
        <v>5.5599999999999997E-2</v>
      </c>
      <c r="H63" s="38">
        <v>0.1162</v>
      </c>
      <c r="I63" s="38">
        <v>4.9000000000000002E-2</v>
      </c>
      <c r="J63" s="38">
        <v>4.1000000000000002E-2</v>
      </c>
      <c r="K63" s="38">
        <v>2.1000000000000001E-2</v>
      </c>
      <c r="L63" s="38">
        <v>4.82E-2</v>
      </c>
      <c r="M63" s="38">
        <v>5.8000000000000003E-2</v>
      </c>
      <c r="N63" s="17">
        <v>3.34</v>
      </c>
      <c r="O63" s="17">
        <v>4.1999999999999997E-3</v>
      </c>
      <c r="P63" s="17">
        <v>2.42</v>
      </c>
      <c r="Q63" s="17">
        <v>1.67</v>
      </c>
      <c r="R63" s="17">
        <v>0.999</v>
      </c>
      <c r="S63" s="17">
        <v>0.55000000000000004</v>
      </c>
      <c r="T63" s="17">
        <v>20081231</v>
      </c>
      <c r="U63" s="17">
        <v>20190731</v>
      </c>
      <c r="V63" s="17">
        <v>128</v>
      </c>
    </row>
    <row r="64" spans="1:22" hidden="1">
      <c r="A64" s="17" t="s">
        <v>1525</v>
      </c>
      <c r="B64" s="38">
        <v>7.2099999999999997E-2</v>
      </c>
      <c r="C64" s="38">
        <v>4.5999999999999999E-2</v>
      </c>
      <c r="D64" s="38">
        <v>6.3200000000000006E-2</v>
      </c>
      <c r="E64" s="38">
        <v>6.8199999999999997E-2</v>
      </c>
      <c r="F64" s="38">
        <v>3.7199999999999997E-2</v>
      </c>
      <c r="G64" s="38">
        <v>7.1800000000000003E-2</v>
      </c>
      <c r="H64" s="38">
        <v>0.13489999999999999</v>
      </c>
      <c r="I64" s="38">
        <v>5.45E-2</v>
      </c>
      <c r="J64" s="38">
        <v>3.8600000000000002E-2</v>
      </c>
      <c r="K64" s="38">
        <v>2.4500000000000001E-2</v>
      </c>
      <c r="L64" s="38">
        <v>4.7300000000000002E-2</v>
      </c>
      <c r="M64" s="38">
        <v>0.06</v>
      </c>
      <c r="N64" s="17">
        <v>2.81</v>
      </c>
      <c r="O64" s="17">
        <v>4.4000000000000003E-3</v>
      </c>
      <c r="P64" s="17">
        <v>1.97</v>
      </c>
      <c r="Q64" s="17">
        <v>1.8</v>
      </c>
      <c r="R64" s="17">
        <v>0.999</v>
      </c>
      <c r="S64" s="17">
        <v>0.56000000000000005</v>
      </c>
      <c r="T64" s="17">
        <v>20081231</v>
      </c>
      <c r="U64" s="17">
        <v>20190731</v>
      </c>
      <c r="V64" s="17">
        <v>128</v>
      </c>
    </row>
    <row r="65" spans="1:22" hidden="1">
      <c r="A65" s="17" t="s">
        <v>1526</v>
      </c>
      <c r="B65" s="38">
        <v>-4.2099999999999999E-2</v>
      </c>
      <c r="C65" s="38">
        <v>2.4500000000000001E-2</v>
      </c>
      <c r="D65" s="38">
        <v>-2.1700000000000001E-2</v>
      </c>
      <c r="E65" s="38">
        <v>1.6500000000000001E-2</v>
      </c>
      <c r="F65" s="38">
        <v>5.3999999999999999E-2</v>
      </c>
      <c r="G65" s="38">
        <v>-5.5800000000000002E-2</v>
      </c>
      <c r="H65" s="38">
        <v>-3.6200000000000003E-2</v>
      </c>
      <c r="I65" s="38">
        <v>-5.8400000000000001E-2</v>
      </c>
      <c r="J65" s="38">
        <v>4.2200000000000001E-2</v>
      </c>
      <c r="K65" s="38">
        <v>3.5099999999999999E-2</v>
      </c>
      <c r="L65" s="38">
        <v>4.3900000000000002E-2</v>
      </c>
      <c r="M65" s="38">
        <v>-1E-3</v>
      </c>
      <c r="N65" s="17">
        <v>-0.04</v>
      </c>
      <c r="O65" s="34">
        <v>1E-4</v>
      </c>
      <c r="P65" s="17">
        <v>0.04</v>
      </c>
      <c r="Q65" s="17">
        <v>0.28999999999999998</v>
      </c>
      <c r="R65" s="17">
        <v>0.999</v>
      </c>
      <c r="S65" s="17">
        <v>0.86</v>
      </c>
      <c r="T65" s="17">
        <v>20081231</v>
      </c>
      <c r="U65" s="17">
        <v>20190731</v>
      </c>
      <c r="V65" s="17">
        <v>128</v>
      </c>
    </row>
    <row r="66" spans="1:22" hidden="1">
      <c r="A66" s="17" t="s">
        <v>1527</v>
      </c>
      <c r="B66" s="38">
        <v>-2.0299999999999999E-2</v>
      </c>
      <c r="C66" s="38">
        <v>2.47E-2</v>
      </c>
      <c r="D66" s="38">
        <v>-4.3200000000000002E-2</v>
      </c>
      <c r="E66" s="38">
        <v>2.52E-2</v>
      </c>
      <c r="F66" s="38">
        <v>4.02E-2</v>
      </c>
      <c r="G66" s="38">
        <v>-2.86E-2</v>
      </c>
      <c r="H66" s="38">
        <v>-3.8E-3</v>
      </c>
      <c r="I66" s="38">
        <v>-5.9200000000000003E-2</v>
      </c>
      <c r="J66" s="38">
        <v>1.9900000000000001E-2</v>
      </c>
      <c r="K66" s="38">
        <v>-1.6400000000000001E-2</v>
      </c>
      <c r="L66" s="38">
        <v>8.2000000000000007E-3</v>
      </c>
      <c r="M66" s="38">
        <v>-5.0000000000000001E-3</v>
      </c>
      <c r="N66" s="17">
        <v>-0.22</v>
      </c>
      <c r="O66" s="34">
        <v>4.0000000000000002E-4</v>
      </c>
      <c r="P66" s="17">
        <v>0.17</v>
      </c>
      <c r="Q66" s="17">
        <v>0.25</v>
      </c>
      <c r="R66" s="17">
        <v>0.999</v>
      </c>
      <c r="S66" s="17">
        <v>0.93</v>
      </c>
      <c r="T66" s="17">
        <v>20081231</v>
      </c>
      <c r="U66" s="17">
        <v>20190731</v>
      </c>
      <c r="V66" s="17">
        <v>128</v>
      </c>
    </row>
    <row r="67" spans="1:22" hidden="1">
      <c r="A67" s="17" t="s">
        <v>1528</v>
      </c>
      <c r="B67" s="38">
        <v>-2.47E-2</v>
      </c>
      <c r="C67" s="38">
        <v>-2.0299999999999999E-2</v>
      </c>
      <c r="D67" s="38">
        <v>-6.2E-2</v>
      </c>
      <c r="E67" s="38">
        <v>-3.5200000000000002E-2</v>
      </c>
      <c r="F67" s="38">
        <v>9.7000000000000003E-3</v>
      </c>
      <c r="G67" s="38">
        <v>1.6999999999999999E-3</v>
      </c>
      <c r="H67" s="38">
        <v>-2.2100000000000002E-2</v>
      </c>
      <c r="I67" s="38">
        <v>5.7000000000000002E-3</v>
      </c>
      <c r="J67" s="38">
        <v>3.9800000000000002E-2</v>
      </c>
      <c r="K67" s="38">
        <v>2.7699999999999999E-2</v>
      </c>
      <c r="L67" s="38">
        <v>1.43E-2</v>
      </c>
      <c r="M67" s="38">
        <v>-7.0000000000000001E-3</v>
      </c>
      <c r="N67" s="17">
        <v>-0.32</v>
      </c>
      <c r="O67" s="34">
        <v>-2.0000000000000001E-4</v>
      </c>
      <c r="P67" s="17">
        <v>-0.12</v>
      </c>
      <c r="Q67" s="17">
        <v>0.03</v>
      </c>
      <c r="R67" s="17">
        <v>0.94799999999999995</v>
      </c>
      <c r="S67" s="17">
        <v>0.81</v>
      </c>
      <c r="T67" s="17">
        <v>20081231</v>
      </c>
      <c r="U67" s="17">
        <v>20190731</v>
      </c>
      <c r="V67" s="17">
        <v>128</v>
      </c>
    </row>
    <row r="68" spans="1:22" hidden="1">
      <c r="A68" s="17" t="s">
        <v>1529</v>
      </c>
      <c r="B68" s="38">
        <v>-3.5299999999999998E-2</v>
      </c>
      <c r="C68" s="38">
        <v>-1.9900000000000001E-2</v>
      </c>
      <c r="D68" s="38">
        <v>-5.8999999999999997E-2</v>
      </c>
      <c r="E68" s="38">
        <v>-3.2399999999999998E-2</v>
      </c>
      <c r="F68" s="38">
        <v>-4.0000000000000001E-3</v>
      </c>
      <c r="G68" s="38">
        <v>-1.5E-3</v>
      </c>
      <c r="H68" s="38">
        <v>-1.17E-2</v>
      </c>
      <c r="I68" s="38">
        <v>-5.4000000000000003E-3</v>
      </c>
      <c r="J68" s="38">
        <v>2.7099999999999999E-2</v>
      </c>
      <c r="K68" s="38">
        <v>2.1899999999999999E-2</v>
      </c>
      <c r="L68" s="38">
        <v>1.2699999999999999E-2</v>
      </c>
      <c r="M68" s="38">
        <v>-0.01</v>
      </c>
      <c r="N68" s="17">
        <v>-0.53</v>
      </c>
      <c r="O68" s="34">
        <v>-4.0000000000000002E-4</v>
      </c>
      <c r="P68" s="17">
        <v>-0.21</v>
      </c>
      <c r="Q68" s="17">
        <v>-0.04</v>
      </c>
      <c r="R68" s="17">
        <v>0.95299999999999996</v>
      </c>
      <c r="S68" s="17">
        <v>0.87</v>
      </c>
      <c r="T68" s="17">
        <v>20081231</v>
      </c>
      <c r="U68" s="17">
        <v>20190731</v>
      </c>
      <c r="V68" s="17">
        <v>128</v>
      </c>
    </row>
    <row r="69" spans="1:22" hidden="1">
      <c r="A69" s="17" t="s">
        <v>1530</v>
      </c>
      <c r="B69" s="38">
        <v>-2.3599999999999999E-2</v>
      </c>
      <c r="C69" s="38">
        <v>-1.5299999999999999E-2</v>
      </c>
      <c r="D69" s="38">
        <v>-2.87E-2</v>
      </c>
      <c r="E69" s="38">
        <v>-2.9399999999999999E-2</v>
      </c>
      <c r="F69" s="38">
        <v>-3.1199999999999999E-2</v>
      </c>
      <c r="G69" s="38">
        <v>-3.8100000000000002E-2</v>
      </c>
      <c r="H69" s="38">
        <v>5.8999999999999999E-3</v>
      </c>
      <c r="I69" s="38">
        <v>-2.06E-2</v>
      </c>
      <c r="J69" s="38">
        <v>-3.56E-2</v>
      </c>
      <c r="K69" s="38">
        <v>1.9900000000000001E-2</v>
      </c>
      <c r="L69" s="38">
        <v>1.6E-2</v>
      </c>
      <c r="M69" s="38">
        <v>-1.7000000000000001E-2</v>
      </c>
      <c r="N69" s="17">
        <v>-0.96</v>
      </c>
      <c r="O69" s="34">
        <v>-2.9999999999999997E-4</v>
      </c>
      <c r="P69" s="17">
        <v>-0.19</v>
      </c>
      <c r="Q69" s="17">
        <v>0.02</v>
      </c>
      <c r="R69" s="17">
        <v>0.94399999999999995</v>
      </c>
      <c r="S69" s="17">
        <v>0.94</v>
      </c>
      <c r="T69" s="17">
        <v>20081231</v>
      </c>
      <c r="U69" s="17">
        <v>20190731</v>
      </c>
      <c r="V69" s="17">
        <v>128</v>
      </c>
    </row>
    <row r="70" spans="1:22" hidden="1">
      <c r="A70" s="17" t="s">
        <v>1531</v>
      </c>
      <c r="B70" s="38">
        <v>-1.6299999999999999E-2</v>
      </c>
      <c r="C70" s="38">
        <v>-1.01E-2</v>
      </c>
      <c r="D70" s="38">
        <v>-5.1400000000000001E-2</v>
      </c>
      <c r="E70" s="38">
        <v>-2.12E-2</v>
      </c>
      <c r="F70" s="38">
        <v>2.1600000000000001E-2</v>
      </c>
      <c r="G70" s="38">
        <v>6.4000000000000003E-3</v>
      </c>
      <c r="H70" s="38">
        <v>-3.2300000000000002E-2</v>
      </c>
      <c r="I70" s="38">
        <v>5.7999999999999996E-3</v>
      </c>
      <c r="J70" s="38">
        <v>3.85E-2</v>
      </c>
      <c r="K70" s="38">
        <v>3.7400000000000003E-2</v>
      </c>
      <c r="L70" s="38">
        <v>2.8400000000000002E-2</v>
      </c>
      <c r="M70" s="38">
        <v>0</v>
      </c>
      <c r="N70" s="17">
        <v>-0.01</v>
      </c>
      <c r="O70" s="34">
        <v>-2.9999999999999997E-4</v>
      </c>
      <c r="P70" s="17">
        <v>-0.18</v>
      </c>
      <c r="Q70" s="17">
        <v>0.02</v>
      </c>
      <c r="R70" s="17">
        <v>0.94499999999999995</v>
      </c>
      <c r="S70" s="17">
        <v>0.75</v>
      </c>
      <c r="T70" s="17">
        <v>20081231</v>
      </c>
      <c r="U70" s="17">
        <v>20190731</v>
      </c>
      <c r="V70" s="17">
        <v>128</v>
      </c>
    </row>
    <row r="71" spans="1:22">
      <c r="A71" s="17" t="s">
        <v>683</v>
      </c>
      <c r="B71" s="38">
        <v>3.7999999999999999E-2</v>
      </c>
      <c r="C71" s="38">
        <v>3.7199999999999997E-2</v>
      </c>
      <c r="D71" s="38">
        <v>9.4100000000000003E-2</v>
      </c>
      <c r="E71" s="38">
        <v>8.6999999999999994E-2</v>
      </c>
      <c r="F71" s="38">
        <v>4.2900000000000001E-2</v>
      </c>
      <c r="G71" s="38">
        <v>4.9799999999999997E-2</v>
      </c>
      <c r="H71" s="38">
        <v>9.0899999999999995E-2</v>
      </c>
      <c r="I71" s="38">
        <v>5.28E-2</v>
      </c>
      <c r="J71" s="38">
        <v>5.9200000000000003E-2</v>
      </c>
      <c r="K71" s="38">
        <v>6.7100000000000007E-2</v>
      </c>
      <c r="L71" s="38">
        <v>6.8500000000000005E-2</v>
      </c>
      <c r="M71" s="38">
        <v>6.2E-2</v>
      </c>
      <c r="N71" s="17">
        <v>3.76</v>
      </c>
      <c r="O71" s="17">
        <v>4.7000000000000002E-3</v>
      </c>
      <c r="P71" s="17">
        <v>2.63</v>
      </c>
      <c r="Q71" s="17">
        <v>2.02</v>
      </c>
      <c r="R71" s="17">
        <v>0.98099999999999998</v>
      </c>
      <c r="S71" s="17">
        <v>0.79</v>
      </c>
      <c r="T71" s="17">
        <v>20081231</v>
      </c>
      <c r="U71" s="17">
        <v>20190731</v>
      </c>
      <c r="V71" s="17">
        <v>128</v>
      </c>
    </row>
    <row r="72" spans="1:22">
      <c r="A72" s="17" t="s">
        <v>1547</v>
      </c>
      <c r="B72" s="38">
        <v>5.9700000000000003E-2</v>
      </c>
      <c r="C72" s="38">
        <v>6.5699999999999995E-2</v>
      </c>
      <c r="D72" s="38">
        <v>8.4000000000000005E-2</v>
      </c>
      <c r="E72" s="38">
        <v>8.14E-2</v>
      </c>
      <c r="F72" s="38">
        <v>2.6100000000000002E-2</v>
      </c>
      <c r="G72" s="38">
        <v>5.0700000000000002E-2</v>
      </c>
      <c r="H72" s="38">
        <v>0.11459999999999999</v>
      </c>
      <c r="I72" s="38">
        <v>5.2999999999999999E-2</v>
      </c>
      <c r="J72" s="38">
        <v>4.5699999999999998E-2</v>
      </c>
      <c r="K72" s="38">
        <v>1.32E-2</v>
      </c>
      <c r="L72" s="38">
        <v>5.0099999999999999E-2</v>
      </c>
      <c r="M72" s="38">
        <v>5.8999999999999997E-2</v>
      </c>
      <c r="N72" s="17">
        <v>3.27</v>
      </c>
      <c r="O72" s="17">
        <v>4.8999999999999998E-3</v>
      </c>
      <c r="P72" s="17">
        <v>2.41</v>
      </c>
      <c r="Q72" s="17">
        <v>1.81</v>
      </c>
      <c r="R72" s="17">
        <v>0.79700000000000004</v>
      </c>
      <c r="S72" s="17">
        <v>0.7</v>
      </c>
      <c r="T72" s="17">
        <v>20081231</v>
      </c>
      <c r="U72" s="17">
        <v>20190731</v>
      </c>
      <c r="V72" s="17">
        <v>128</v>
      </c>
    </row>
    <row r="73" spans="1:22" hidden="1">
      <c r="A73" s="17" t="s">
        <v>685</v>
      </c>
      <c r="B73" s="38">
        <v>4.8800000000000003E-2</v>
      </c>
      <c r="C73" s="38">
        <v>7.0499999999999993E-2</v>
      </c>
      <c r="D73" s="38">
        <v>7.2800000000000004E-2</v>
      </c>
      <c r="E73" s="38">
        <v>5.6000000000000001E-2</v>
      </c>
      <c r="F73" s="38">
        <v>1.8599999999999998E-2</v>
      </c>
      <c r="G73" s="38">
        <v>2.6200000000000001E-2</v>
      </c>
      <c r="H73" s="38">
        <v>8.1199999999999994E-2</v>
      </c>
      <c r="I73" s="38">
        <v>3.8300000000000001E-2</v>
      </c>
      <c r="J73" s="38">
        <v>5.0599999999999999E-2</v>
      </c>
      <c r="K73" s="38">
        <v>2.4199999999999999E-2</v>
      </c>
      <c r="L73" s="38">
        <v>5.9700000000000003E-2</v>
      </c>
      <c r="M73" s="38">
        <v>4.9000000000000002E-2</v>
      </c>
      <c r="N73" s="17">
        <v>3.71</v>
      </c>
      <c r="O73" s="17">
        <v>4.0000000000000001E-3</v>
      </c>
      <c r="P73" s="17">
        <v>2.87</v>
      </c>
      <c r="Q73" s="17">
        <v>1.54</v>
      </c>
      <c r="R73" s="17">
        <v>0.78200000000000003</v>
      </c>
      <c r="S73" s="17">
        <v>0.69</v>
      </c>
      <c r="T73" s="17">
        <v>20081231</v>
      </c>
      <c r="U73" s="17">
        <v>20190731</v>
      </c>
      <c r="V73" s="17">
        <v>128</v>
      </c>
    </row>
    <row r="74" spans="1:22" hidden="1">
      <c r="A74" s="17" t="s">
        <v>687</v>
      </c>
      <c r="B74" s="38">
        <v>3.7499999999999999E-2</v>
      </c>
      <c r="C74" s="38">
        <v>6.1199999999999997E-2</v>
      </c>
      <c r="D74" s="38">
        <v>5.6500000000000002E-2</v>
      </c>
      <c r="E74" s="38">
        <v>4.6300000000000001E-2</v>
      </c>
      <c r="F74" s="38">
        <v>1.18E-2</v>
      </c>
      <c r="G74" s="38">
        <v>1.52E-2</v>
      </c>
      <c r="H74" s="38">
        <v>6.5199999999999994E-2</v>
      </c>
      <c r="I74" s="38">
        <v>3.2399999999999998E-2</v>
      </c>
      <c r="J74" s="38">
        <v>4.3799999999999999E-2</v>
      </c>
      <c r="K74" s="38">
        <v>1.7899999999999999E-2</v>
      </c>
      <c r="L74" s="38">
        <v>3.9899999999999998E-2</v>
      </c>
      <c r="M74" s="38">
        <v>3.9E-2</v>
      </c>
      <c r="N74" s="17">
        <v>3.13</v>
      </c>
      <c r="O74" s="17">
        <v>3.3E-3</v>
      </c>
      <c r="P74" s="17">
        <v>2.65</v>
      </c>
      <c r="Q74" s="17">
        <v>1.3</v>
      </c>
      <c r="R74" s="17">
        <v>0.79500000000000004</v>
      </c>
      <c r="S74" s="17">
        <v>0.68</v>
      </c>
      <c r="T74" s="17">
        <v>20081231</v>
      </c>
      <c r="U74" s="17">
        <v>20190731</v>
      </c>
      <c r="V74" s="17">
        <v>128</v>
      </c>
    </row>
    <row r="75" spans="1:22" hidden="1">
      <c r="A75" s="17" t="s">
        <v>1532</v>
      </c>
      <c r="B75" s="38">
        <v>5.9400000000000001E-2</v>
      </c>
      <c r="C75" s="38">
        <v>3.7999999999999999E-2</v>
      </c>
      <c r="D75" s="38">
        <v>1.55E-2</v>
      </c>
      <c r="E75" s="38">
        <v>7.1400000000000005E-2</v>
      </c>
      <c r="F75" s="38">
        <v>3.4299999999999997E-2</v>
      </c>
      <c r="G75" s="38">
        <v>4.99E-2</v>
      </c>
      <c r="H75" s="38">
        <v>8.8900000000000007E-2</v>
      </c>
      <c r="I75" s="38">
        <v>3.3700000000000001E-2</v>
      </c>
      <c r="J75" s="38">
        <v>1.44E-2</v>
      </c>
      <c r="K75" s="38">
        <v>2.29E-2</v>
      </c>
      <c r="L75" s="38">
        <v>4.5100000000000001E-2</v>
      </c>
      <c r="M75" s="38">
        <v>4.2999999999999997E-2</v>
      </c>
      <c r="N75" s="17">
        <v>2.0499999999999998</v>
      </c>
      <c r="O75" s="17">
        <v>3.2000000000000002E-3</v>
      </c>
      <c r="P75" s="17">
        <v>1.51</v>
      </c>
      <c r="Q75" s="17">
        <v>1.34</v>
      </c>
      <c r="R75" s="17">
        <v>0.95499999999999996</v>
      </c>
      <c r="S75" s="17">
        <v>0.28000000000000003</v>
      </c>
      <c r="T75" s="17">
        <v>20081231</v>
      </c>
      <c r="U75" s="17">
        <v>20190731</v>
      </c>
      <c r="V75" s="17">
        <v>128</v>
      </c>
    </row>
    <row r="76" spans="1:22" hidden="1">
      <c r="A76" s="17" t="s">
        <v>1533</v>
      </c>
      <c r="B76" s="38">
        <v>4.8000000000000001E-2</v>
      </c>
      <c r="C76" s="38">
        <v>3.6600000000000001E-2</v>
      </c>
      <c r="D76" s="38">
        <v>3.1600000000000003E-2</v>
      </c>
      <c r="E76" s="38">
        <v>6.4000000000000001E-2</v>
      </c>
      <c r="F76" s="38">
        <v>2.2700000000000001E-2</v>
      </c>
      <c r="G76" s="38">
        <v>4.4400000000000002E-2</v>
      </c>
      <c r="H76" s="38">
        <v>8.3099999999999993E-2</v>
      </c>
      <c r="I76" s="38">
        <v>3.0800000000000001E-2</v>
      </c>
      <c r="J76" s="38">
        <v>2.5600000000000001E-2</v>
      </c>
      <c r="K76" s="38">
        <v>1.77E-2</v>
      </c>
      <c r="L76" s="38">
        <v>4.7399999999999998E-2</v>
      </c>
      <c r="M76" s="38">
        <v>4.1000000000000002E-2</v>
      </c>
      <c r="N76" s="17">
        <v>2.02</v>
      </c>
      <c r="O76" s="17">
        <v>3.0000000000000001E-3</v>
      </c>
      <c r="P76" s="17">
        <v>1.45</v>
      </c>
      <c r="Q76" s="17">
        <v>1.26</v>
      </c>
      <c r="R76" s="17">
        <v>0.95599999999999996</v>
      </c>
      <c r="S76" s="17">
        <v>0.43</v>
      </c>
      <c r="T76" s="17">
        <v>20081231</v>
      </c>
      <c r="U76" s="17">
        <v>20190731</v>
      </c>
      <c r="V76" s="17">
        <v>128</v>
      </c>
    </row>
    <row r="77" spans="1:22" hidden="1">
      <c r="A77" s="17" t="s">
        <v>1534</v>
      </c>
      <c r="B77" s="38">
        <v>7.8799999999999995E-2</v>
      </c>
      <c r="C77" s="38">
        <v>3.0499999999999999E-2</v>
      </c>
      <c r="D77" s="38">
        <v>3.5200000000000002E-2</v>
      </c>
      <c r="E77" s="38">
        <v>5.8000000000000003E-2</v>
      </c>
      <c r="F77" s="38">
        <v>3.61E-2</v>
      </c>
      <c r="G77" s="38">
        <v>1.18E-2</v>
      </c>
      <c r="H77" s="38">
        <v>3.6999999999999998E-2</v>
      </c>
      <c r="I77" s="38">
        <v>5.4699999999999999E-2</v>
      </c>
      <c r="J77" s="38">
        <v>4.0800000000000003E-2</v>
      </c>
      <c r="K77" s="38">
        <v>8.0999999999999996E-3</v>
      </c>
      <c r="L77" s="38">
        <v>1.4800000000000001E-2</v>
      </c>
      <c r="M77" s="38">
        <v>3.7999999999999999E-2</v>
      </c>
      <c r="N77" s="17">
        <v>2.6</v>
      </c>
      <c r="O77" s="17">
        <v>3.0000000000000001E-3</v>
      </c>
      <c r="P77" s="17">
        <v>2.16</v>
      </c>
      <c r="Q77" s="17">
        <v>1.26</v>
      </c>
      <c r="R77" s="17">
        <v>0.93500000000000005</v>
      </c>
      <c r="S77" s="17">
        <v>0</v>
      </c>
      <c r="T77" s="17">
        <v>20081231</v>
      </c>
      <c r="U77" s="17">
        <v>20190731</v>
      </c>
      <c r="V77" s="17">
        <v>128</v>
      </c>
    </row>
    <row r="78" spans="1:22">
      <c r="A78" s="17" t="s">
        <v>1606</v>
      </c>
      <c r="B78" s="38">
        <v>5.0099999999999999E-2</v>
      </c>
      <c r="C78" s="38">
        <v>5.8099999999999999E-2</v>
      </c>
      <c r="D78" s="38">
        <v>8.1500000000000003E-2</v>
      </c>
      <c r="E78" s="38">
        <v>7.6300000000000007E-2</v>
      </c>
      <c r="F78" s="38">
        <v>2.8199999999999999E-2</v>
      </c>
      <c r="G78" s="38">
        <v>4.3900000000000002E-2</v>
      </c>
      <c r="H78" s="38">
        <v>9.7600000000000006E-2</v>
      </c>
      <c r="I78" s="38">
        <v>4.53E-2</v>
      </c>
      <c r="J78" s="38">
        <v>4.8899999999999999E-2</v>
      </c>
      <c r="K78" s="38">
        <v>2.8299999999999999E-2</v>
      </c>
      <c r="L78" s="38">
        <v>3.6600000000000001E-2</v>
      </c>
      <c r="M78" s="38">
        <v>5.5E-2</v>
      </c>
      <c r="N78" s="17">
        <v>3.24</v>
      </c>
      <c r="O78" s="17">
        <v>4.4999999999999997E-3</v>
      </c>
      <c r="P78" s="17">
        <v>2.39</v>
      </c>
      <c r="Q78" s="17">
        <v>1.86</v>
      </c>
      <c r="R78" s="17">
        <v>0.999</v>
      </c>
      <c r="S78" s="17">
        <v>0.73</v>
      </c>
      <c r="T78" s="17">
        <v>20081231</v>
      </c>
      <c r="U78" s="17">
        <v>20190731</v>
      </c>
      <c r="V78" s="17">
        <v>128</v>
      </c>
    </row>
    <row r="79" spans="1:22">
      <c r="A79" s="17" t="s">
        <v>1605</v>
      </c>
      <c r="B79" s="38">
        <v>8.4199999999999997E-2</v>
      </c>
      <c r="C79" s="38">
        <v>2.5700000000000001E-2</v>
      </c>
      <c r="D79" s="38">
        <v>7.0400000000000004E-2</v>
      </c>
      <c r="E79" s="38">
        <v>8.43E-2</v>
      </c>
      <c r="F79" s="38">
        <v>9.5999999999999992E-3</v>
      </c>
      <c r="G79" s="38">
        <v>3.4299999999999997E-2</v>
      </c>
      <c r="H79" s="38">
        <v>0.1236</v>
      </c>
      <c r="I79" s="38">
        <v>7.6600000000000001E-2</v>
      </c>
      <c r="J79" s="38">
        <v>2.1999999999999999E-2</v>
      </c>
      <c r="K79" s="38">
        <v>2.4799999999999999E-2</v>
      </c>
      <c r="L79" s="38">
        <v>3.1600000000000003E-2</v>
      </c>
      <c r="M79" s="38">
        <v>5.3999999999999999E-2</v>
      </c>
      <c r="N79" s="17">
        <v>2.13</v>
      </c>
      <c r="O79" s="17">
        <v>3.5000000000000001E-3</v>
      </c>
      <c r="P79" s="17">
        <v>1.3</v>
      </c>
      <c r="Q79" s="17">
        <v>1.36</v>
      </c>
      <c r="R79" s="17">
        <v>0.999</v>
      </c>
      <c r="S79" s="17">
        <v>0.72</v>
      </c>
      <c r="T79" s="17">
        <v>20081231</v>
      </c>
      <c r="U79" s="17">
        <v>20190731</v>
      </c>
      <c r="V79" s="17">
        <v>128</v>
      </c>
    </row>
    <row r="80" spans="1:22">
      <c r="A80" s="17" t="s">
        <v>1535</v>
      </c>
      <c r="B80" s="38">
        <v>7.9799999999999996E-2</v>
      </c>
      <c r="C80" s="38">
        <v>1.83E-2</v>
      </c>
      <c r="D80" s="38">
        <v>6.7100000000000007E-2</v>
      </c>
      <c r="E80" s="38">
        <v>7.8899999999999998E-2</v>
      </c>
      <c r="F80" s="38">
        <v>1.01E-2</v>
      </c>
      <c r="G80" s="38">
        <v>3.4200000000000001E-2</v>
      </c>
      <c r="H80" s="38">
        <v>0.1188</v>
      </c>
      <c r="I80" s="38">
        <v>8.2400000000000001E-2</v>
      </c>
      <c r="J80" s="38">
        <v>1.7399999999999999E-2</v>
      </c>
      <c r="K80" s="38">
        <v>2.9600000000000001E-2</v>
      </c>
      <c r="L80" s="38">
        <v>4.1300000000000003E-2</v>
      </c>
      <c r="M80" s="38">
        <v>5.2999999999999999E-2</v>
      </c>
      <c r="N80" s="17">
        <v>1.99</v>
      </c>
      <c r="O80" s="17">
        <v>3.2000000000000002E-3</v>
      </c>
      <c r="P80" s="17">
        <v>1.17</v>
      </c>
      <c r="Q80" s="17">
        <v>1.25</v>
      </c>
      <c r="R80" s="17">
        <v>0.999</v>
      </c>
      <c r="S80" s="17">
        <v>0.73</v>
      </c>
      <c r="T80" s="17">
        <v>20081231</v>
      </c>
      <c r="U80" s="17">
        <v>20190731</v>
      </c>
      <c r="V80" s="17">
        <v>128</v>
      </c>
    </row>
    <row r="81" spans="1:22">
      <c r="A81" s="17" t="s">
        <v>1607</v>
      </c>
      <c r="B81" s="38">
        <v>7.2700000000000001E-2</v>
      </c>
      <c r="C81" s="38">
        <v>2.7799999999999998E-2</v>
      </c>
      <c r="D81" s="38">
        <v>7.0199999999999999E-2</v>
      </c>
      <c r="E81" s="38">
        <v>6.8500000000000005E-2</v>
      </c>
      <c r="F81" s="38">
        <v>2.0299999999999999E-2</v>
      </c>
      <c r="G81" s="38">
        <v>4.36E-2</v>
      </c>
      <c r="H81" s="38">
        <v>0.1115</v>
      </c>
      <c r="I81" s="38">
        <v>6.3E-2</v>
      </c>
      <c r="J81" s="38">
        <v>3.8100000000000002E-2</v>
      </c>
      <c r="K81" s="38">
        <v>3.0700000000000002E-2</v>
      </c>
      <c r="L81" s="38">
        <v>3.1E-2</v>
      </c>
      <c r="M81" s="38">
        <v>5.2999999999999999E-2</v>
      </c>
      <c r="N81" s="17">
        <v>2.59</v>
      </c>
      <c r="O81" s="17">
        <v>3.7000000000000002E-3</v>
      </c>
      <c r="P81" s="17">
        <v>1.67</v>
      </c>
      <c r="Q81" s="17">
        <v>1.54</v>
      </c>
      <c r="R81" s="17">
        <v>0.999</v>
      </c>
      <c r="S81" s="17">
        <v>0.74</v>
      </c>
      <c r="T81" s="17">
        <v>20081231</v>
      </c>
      <c r="U81" s="17">
        <v>20190731</v>
      </c>
      <c r="V81" s="17">
        <v>128</v>
      </c>
    </row>
    <row r="82" spans="1:22">
      <c r="A82" s="17" t="s">
        <v>1536</v>
      </c>
      <c r="B82" s="38">
        <v>3.0599999999999999E-2</v>
      </c>
      <c r="C82" s="38">
        <v>3.4599999999999999E-2</v>
      </c>
      <c r="D82" s="38">
        <v>8.3900000000000002E-2</v>
      </c>
      <c r="E82" s="38">
        <v>7.5600000000000001E-2</v>
      </c>
      <c r="F82" s="38">
        <v>2.7E-2</v>
      </c>
      <c r="G82" s="38">
        <v>4.0500000000000001E-2</v>
      </c>
      <c r="H82" s="38">
        <v>7.85E-2</v>
      </c>
      <c r="I82" s="38">
        <v>4.2999999999999997E-2</v>
      </c>
      <c r="J82" s="38">
        <v>5.4899999999999997E-2</v>
      </c>
      <c r="K82" s="38">
        <v>3.9399999999999998E-2</v>
      </c>
      <c r="L82" s="38">
        <v>5.0900000000000001E-2</v>
      </c>
      <c r="M82" s="38">
        <v>5.0999999999999997E-2</v>
      </c>
      <c r="N82" s="17">
        <v>2.99</v>
      </c>
      <c r="O82" s="17">
        <v>3.8999999999999998E-3</v>
      </c>
      <c r="P82" s="17">
        <v>2.25</v>
      </c>
      <c r="Q82" s="17">
        <v>1.67</v>
      </c>
      <c r="R82" s="17">
        <v>0.999</v>
      </c>
      <c r="S82" s="17">
        <v>0.79</v>
      </c>
      <c r="T82" s="17">
        <v>20081231</v>
      </c>
      <c r="U82" s="17">
        <v>20190731</v>
      </c>
      <c r="V82" s="17">
        <v>128</v>
      </c>
    </row>
    <row r="83" spans="1:22">
      <c r="A83" s="17" t="s">
        <v>673</v>
      </c>
      <c r="B83" s="38">
        <v>4.8599999999999997E-2</v>
      </c>
      <c r="C83" s="38">
        <v>6.0400000000000002E-2</v>
      </c>
      <c r="D83" s="38">
        <v>6.2700000000000006E-2</v>
      </c>
      <c r="E83" s="38">
        <v>4.6300000000000001E-2</v>
      </c>
      <c r="F83" s="38">
        <v>2.9600000000000001E-2</v>
      </c>
      <c r="G83" s="38">
        <v>3.09E-2</v>
      </c>
      <c r="H83" s="38">
        <v>6.9000000000000006E-2</v>
      </c>
      <c r="I83" s="38">
        <v>3.1300000000000001E-2</v>
      </c>
      <c r="J83" s="38">
        <v>3.1699999999999999E-2</v>
      </c>
      <c r="K83" s="38">
        <v>1.7399999999999999E-2</v>
      </c>
      <c r="L83" s="38">
        <v>2.3300000000000001E-2</v>
      </c>
      <c r="M83" s="38">
        <v>4.2000000000000003E-2</v>
      </c>
      <c r="N83" s="17">
        <v>3.53</v>
      </c>
      <c r="O83" s="17">
        <v>4.0000000000000001E-3</v>
      </c>
      <c r="P83" s="17">
        <v>3.07</v>
      </c>
      <c r="Q83" s="17">
        <v>1.51</v>
      </c>
      <c r="R83" s="17">
        <v>0.82599999999999996</v>
      </c>
      <c r="S83" s="17">
        <v>0.75</v>
      </c>
      <c r="T83" s="17">
        <v>20081231</v>
      </c>
      <c r="U83" s="17">
        <v>20190731</v>
      </c>
      <c r="V83" s="17">
        <v>128</v>
      </c>
    </row>
    <row r="84" spans="1:22">
      <c r="A84" s="17" t="s">
        <v>1581</v>
      </c>
      <c r="B84" s="38">
        <v>2.8299999999999999E-2</v>
      </c>
      <c r="C84" s="38">
        <v>5.6300000000000003E-2</v>
      </c>
      <c r="D84" s="38">
        <v>1.44E-2</v>
      </c>
      <c r="E84" s="38">
        <v>3.1699999999999999E-2</v>
      </c>
      <c r="F84" s="38">
        <v>4.0399999999999998E-2</v>
      </c>
      <c r="G84" s="38">
        <v>1.21E-2</v>
      </c>
      <c r="H84" s="38">
        <v>2.5999999999999999E-2</v>
      </c>
      <c r="I84" s="38">
        <v>1.2699999999999999E-2</v>
      </c>
      <c r="J84" s="38">
        <v>4.7100000000000003E-2</v>
      </c>
      <c r="K84" s="38">
        <v>5.1999999999999998E-3</v>
      </c>
      <c r="L84" s="38">
        <v>2.7900000000000001E-2</v>
      </c>
      <c r="M84" s="38">
        <v>2.7E-2</v>
      </c>
      <c r="N84" s="17">
        <v>2.35</v>
      </c>
      <c r="O84" s="17">
        <v>2.8E-3</v>
      </c>
      <c r="P84" s="17">
        <v>2.2599999999999998</v>
      </c>
      <c r="Q84" s="17">
        <v>1.22</v>
      </c>
      <c r="R84" s="17">
        <v>0.99299999999999999</v>
      </c>
      <c r="S84" s="17">
        <v>0.77</v>
      </c>
      <c r="T84" s="17">
        <v>20081231</v>
      </c>
      <c r="U84" s="17">
        <v>20190731</v>
      </c>
      <c r="V84" s="17">
        <v>128</v>
      </c>
    </row>
    <row r="85" spans="1:22" hidden="1">
      <c r="A85" s="17" t="s">
        <v>1537</v>
      </c>
      <c r="B85" s="38">
        <v>7.4999999999999997E-2</v>
      </c>
      <c r="C85" s="38">
        <v>2.7000000000000001E-3</v>
      </c>
      <c r="D85" s="38">
        <v>4.9500000000000002E-2</v>
      </c>
      <c r="E85" s="38">
        <v>9.2999999999999992E-3</v>
      </c>
      <c r="F85" s="38">
        <v>-1.4E-3</v>
      </c>
      <c r="G85" s="38">
        <v>8.1000000000000003E-2</v>
      </c>
      <c r="H85" s="38">
        <v>6.54E-2</v>
      </c>
      <c r="I85" s="38">
        <v>7.2999999999999995E-2</v>
      </c>
      <c r="J85" s="38">
        <v>1.9E-3</v>
      </c>
      <c r="K85" s="38">
        <v>7.1000000000000004E-3</v>
      </c>
      <c r="L85" s="38">
        <v>2.3E-2</v>
      </c>
      <c r="M85" s="38">
        <v>3.5999999999999997E-2</v>
      </c>
      <c r="N85" s="17">
        <v>1.33</v>
      </c>
      <c r="O85" s="17">
        <v>2.2000000000000001E-3</v>
      </c>
      <c r="P85" s="17">
        <v>0.74</v>
      </c>
      <c r="Q85" s="17">
        <v>0.81</v>
      </c>
      <c r="R85" s="17">
        <v>0.95599999999999996</v>
      </c>
      <c r="S85" s="17">
        <v>0.88</v>
      </c>
      <c r="T85" s="17">
        <v>20081231</v>
      </c>
      <c r="U85" s="17">
        <v>20190731</v>
      </c>
      <c r="V85" s="17">
        <v>128</v>
      </c>
    </row>
    <row r="86" spans="1:22" hidden="1">
      <c r="A86" s="17" t="s">
        <v>1538</v>
      </c>
      <c r="B86" s="38">
        <v>4.4200000000000003E-2</v>
      </c>
      <c r="C86" s="38">
        <v>-2E-3</v>
      </c>
      <c r="D86" s="38">
        <v>3.2199999999999999E-2</v>
      </c>
      <c r="E86" s="38">
        <v>-2.0899999999999998E-2</v>
      </c>
      <c r="F86" s="38">
        <v>-1.6E-2</v>
      </c>
      <c r="G86" s="38">
        <v>6.0900000000000003E-2</v>
      </c>
      <c r="H86" s="38">
        <v>6.7999999999999996E-3</v>
      </c>
      <c r="I86" s="38">
        <v>5.7799999999999997E-2</v>
      </c>
      <c r="J86" s="38">
        <v>-1.2699999999999999E-2</v>
      </c>
      <c r="K86" s="38">
        <v>-9.4999999999999998E-3</v>
      </c>
      <c r="L86" s="38">
        <v>-6.7999999999999996E-3</v>
      </c>
      <c r="M86" s="38">
        <v>1.2999999999999999E-2</v>
      </c>
      <c r="N86" s="17">
        <v>0.52</v>
      </c>
      <c r="O86" s="34">
        <v>5.9999999999999995E-4</v>
      </c>
      <c r="P86" s="17">
        <v>0.21</v>
      </c>
      <c r="Q86" s="17">
        <v>0.13</v>
      </c>
      <c r="R86" s="17">
        <v>0.95299999999999996</v>
      </c>
      <c r="S86" s="17">
        <v>0.87</v>
      </c>
      <c r="T86" s="17">
        <v>20081231</v>
      </c>
      <c r="U86" s="17">
        <v>20190731</v>
      </c>
      <c r="V86" s="17">
        <v>128</v>
      </c>
    </row>
    <row r="87" spans="1:22" hidden="1">
      <c r="A87" s="17" t="s">
        <v>1539</v>
      </c>
      <c r="B87" s="38">
        <v>9.8699999999999996E-2</v>
      </c>
      <c r="C87" s="38">
        <v>2.6700000000000002E-2</v>
      </c>
      <c r="D87" s="38">
        <v>4.3499999999999997E-2</v>
      </c>
      <c r="E87" s="38">
        <v>7.7499999999999999E-2</v>
      </c>
      <c r="F87" s="38">
        <v>3.9600000000000003E-2</v>
      </c>
      <c r="G87" s="38">
        <v>6.7000000000000004E-2</v>
      </c>
      <c r="H87" s="38">
        <v>0.13469999999999999</v>
      </c>
      <c r="I87" s="38">
        <v>6.3200000000000006E-2</v>
      </c>
      <c r="J87" s="38">
        <v>3.0200000000000001E-2</v>
      </c>
      <c r="K87" s="38">
        <v>5.9299999999999999E-2</v>
      </c>
      <c r="L87" s="38">
        <v>7.4200000000000002E-2</v>
      </c>
      <c r="M87" s="38">
        <v>6.5000000000000002E-2</v>
      </c>
      <c r="N87" s="17">
        <v>2.48</v>
      </c>
      <c r="O87" s="17">
        <v>4.8999999999999998E-3</v>
      </c>
      <c r="P87" s="17">
        <v>1.73</v>
      </c>
      <c r="Q87" s="17">
        <v>2.13</v>
      </c>
      <c r="R87" s="17">
        <v>0.95</v>
      </c>
      <c r="S87" s="17">
        <v>0.02</v>
      </c>
      <c r="T87" s="17">
        <v>20081231</v>
      </c>
      <c r="U87" s="17">
        <v>20190731</v>
      </c>
      <c r="V87" s="17">
        <v>128</v>
      </c>
    </row>
    <row r="88" spans="1:22" hidden="1">
      <c r="A88" s="17" t="s">
        <v>1540</v>
      </c>
      <c r="B88" s="38">
        <v>4.3400000000000001E-2</v>
      </c>
      <c r="C88" s="38">
        <v>2.5999999999999999E-3</v>
      </c>
      <c r="D88" s="38">
        <v>3.6799999999999999E-2</v>
      </c>
      <c r="E88" s="38">
        <v>2.4899999999999999E-2</v>
      </c>
      <c r="F88" s="38">
        <v>-5.7000000000000002E-3</v>
      </c>
      <c r="G88" s="38">
        <v>9.4200000000000006E-2</v>
      </c>
      <c r="H88" s="38">
        <v>3.73E-2</v>
      </c>
      <c r="I88" s="38">
        <v>9.35E-2</v>
      </c>
      <c r="J88" s="38">
        <v>2.4E-2</v>
      </c>
      <c r="K88" s="38">
        <v>7.7999999999999996E-3</v>
      </c>
      <c r="L88" s="38">
        <v>1.46E-2</v>
      </c>
      <c r="M88" s="38">
        <v>3.5000000000000003E-2</v>
      </c>
      <c r="N88" s="17">
        <v>1.31</v>
      </c>
      <c r="O88" s="17">
        <v>1.9E-3</v>
      </c>
      <c r="P88" s="17">
        <v>0.61</v>
      </c>
      <c r="Q88" s="17">
        <v>0.68</v>
      </c>
      <c r="R88" s="17">
        <v>0.94699999999999995</v>
      </c>
      <c r="S88" s="17">
        <v>0.93</v>
      </c>
      <c r="T88" s="17">
        <v>20081231</v>
      </c>
      <c r="U88" s="17">
        <v>20190731</v>
      </c>
      <c r="V88" s="17">
        <v>128</v>
      </c>
    </row>
    <row r="89" spans="1:22" hidden="1">
      <c r="A89" s="17" t="s">
        <v>1541</v>
      </c>
      <c r="B89" s="38">
        <v>2.1700000000000001E-2</v>
      </c>
      <c r="C89" s="38">
        <v>-3.0999999999999999E-3</v>
      </c>
      <c r="D89" s="38">
        <v>2.29E-2</v>
      </c>
      <c r="E89" s="38">
        <v>5.4999999999999997E-3</v>
      </c>
      <c r="F89" s="38">
        <v>-1.6500000000000001E-2</v>
      </c>
      <c r="G89" s="38">
        <v>7.7799999999999994E-2</v>
      </c>
      <c r="H89" s="38">
        <v>-6.4000000000000003E-3</v>
      </c>
      <c r="I89" s="38">
        <v>7.85E-2</v>
      </c>
      <c r="J89" s="38">
        <v>1.3899999999999999E-2</v>
      </c>
      <c r="K89" s="38">
        <v>-3.8E-3</v>
      </c>
      <c r="L89" s="38">
        <v>-7.1000000000000004E-3</v>
      </c>
      <c r="M89" s="38">
        <v>1.7000000000000001E-2</v>
      </c>
      <c r="N89" s="17">
        <v>0.69</v>
      </c>
      <c r="O89" s="34">
        <v>5.9999999999999995E-4</v>
      </c>
      <c r="P89" s="17">
        <v>0.22</v>
      </c>
      <c r="Q89" s="17">
        <v>0.18</v>
      </c>
      <c r="R89" s="17">
        <v>0.94399999999999995</v>
      </c>
      <c r="S89" s="17">
        <v>0.93</v>
      </c>
      <c r="T89" s="17">
        <v>20081231</v>
      </c>
      <c r="U89" s="17">
        <v>20190731</v>
      </c>
      <c r="V89" s="17">
        <v>128</v>
      </c>
    </row>
    <row r="90" spans="1:22" hidden="1">
      <c r="A90" s="17" t="s">
        <v>1542</v>
      </c>
      <c r="B90" s="38">
        <v>8.3199999999999996E-2</v>
      </c>
      <c r="C90" s="38">
        <v>1.9599999999999999E-2</v>
      </c>
      <c r="D90" s="38">
        <v>5.6500000000000002E-2</v>
      </c>
      <c r="E90" s="38">
        <v>5.7599999999999998E-2</v>
      </c>
      <c r="F90" s="38">
        <v>2.2599999999999999E-2</v>
      </c>
      <c r="G90" s="38">
        <v>8.3299999999999999E-2</v>
      </c>
      <c r="H90" s="38">
        <v>0.14449999999999999</v>
      </c>
      <c r="I90" s="38">
        <v>6.6500000000000004E-2</v>
      </c>
      <c r="J90" s="38">
        <v>1.72E-2</v>
      </c>
      <c r="K90" s="38">
        <v>1.8800000000000001E-2</v>
      </c>
      <c r="L90" s="38">
        <v>4.02E-2</v>
      </c>
      <c r="M90" s="38">
        <v>5.6000000000000001E-2</v>
      </c>
      <c r="N90" s="17">
        <v>2.04</v>
      </c>
      <c r="O90" s="17">
        <v>3.8E-3</v>
      </c>
      <c r="P90" s="17">
        <v>1.29</v>
      </c>
      <c r="Q90" s="17">
        <v>1.52</v>
      </c>
      <c r="R90" s="17">
        <v>0.94799999999999995</v>
      </c>
      <c r="S90" s="17">
        <v>0.63</v>
      </c>
      <c r="T90" s="17">
        <v>20081231</v>
      </c>
      <c r="U90" s="17">
        <v>20190731</v>
      </c>
      <c r="V90" s="17">
        <v>128</v>
      </c>
    </row>
    <row r="91" spans="1:22" hidden="1">
      <c r="A91" s="17" t="s">
        <v>1543</v>
      </c>
      <c r="B91" s="38">
        <v>2.8500000000000001E-2</v>
      </c>
      <c r="C91" s="38">
        <v>2E-3</v>
      </c>
      <c r="D91" s="38">
        <v>3.2199999999999999E-2</v>
      </c>
      <c r="E91" s="38">
        <v>1.01E-2</v>
      </c>
      <c r="F91" s="38">
        <v>-6.6E-3</v>
      </c>
      <c r="G91" s="38">
        <v>4.2599999999999999E-2</v>
      </c>
      <c r="H91" s="38">
        <v>4.2700000000000002E-2</v>
      </c>
      <c r="I91" s="38">
        <v>2.5700000000000001E-2</v>
      </c>
      <c r="J91" s="38">
        <v>-6.1000000000000004E-3</v>
      </c>
      <c r="K91" s="38">
        <v>-2.1399999999999999E-2</v>
      </c>
      <c r="L91" s="38">
        <v>-1.4200000000000001E-2</v>
      </c>
      <c r="M91" s="38">
        <v>1.2999999999999999E-2</v>
      </c>
      <c r="N91" s="17">
        <v>0.63</v>
      </c>
      <c r="O91" s="34">
        <v>6.9999999999999999E-4</v>
      </c>
      <c r="P91" s="17">
        <v>0.3</v>
      </c>
      <c r="Q91" s="17">
        <v>0.2</v>
      </c>
      <c r="R91" s="17">
        <v>0.94899999999999995</v>
      </c>
      <c r="S91" s="17">
        <v>0.47</v>
      </c>
      <c r="T91" s="17">
        <v>20081231</v>
      </c>
      <c r="U91" s="17">
        <v>20190731</v>
      </c>
      <c r="V91" s="17">
        <v>128</v>
      </c>
    </row>
    <row r="92" spans="1:22" hidden="1">
      <c r="A92" s="17" t="s">
        <v>1544</v>
      </c>
      <c r="B92" s="38">
        <v>7.6999999999999999E-2</v>
      </c>
      <c r="C92" s="38">
        <v>-5.9999999999999995E-4</v>
      </c>
      <c r="D92" s="38">
        <v>4.5499999999999999E-2</v>
      </c>
      <c r="E92" s="38">
        <v>4.82E-2</v>
      </c>
      <c r="F92" s="38">
        <v>1.1000000000000001E-3</v>
      </c>
      <c r="G92" s="38">
        <v>5.9700000000000003E-2</v>
      </c>
      <c r="H92" s="38">
        <v>0.1065</v>
      </c>
      <c r="I92" s="38">
        <v>6.25E-2</v>
      </c>
      <c r="J92" s="38">
        <v>-2.0000000000000001E-4</v>
      </c>
      <c r="K92" s="38">
        <v>5.9999999999999995E-4</v>
      </c>
      <c r="L92" s="38">
        <v>1.1299999999999999E-2</v>
      </c>
      <c r="M92" s="38">
        <v>3.7999999999999999E-2</v>
      </c>
      <c r="N92" s="17">
        <v>1.45</v>
      </c>
      <c r="O92" s="17">
        <v>2.5000000000000001E-3</v>
      </c>
      <c r="P92" s="17">
        <v>0.87</v>
      </c>
      <c r="Q92" s="17">
        <v>0.93</v>
      </c>
      <c r="R92" s="17">
        <v>0.94599999999999995</v>
      </c>
      <c r="S92" s="17">
        <v>0.8</v>
      </c>
      <c r="T92" s="17">
        <v>20081231</v>
      </c>
      <c r="U92" s="17">
        <v>20190731</v>
      </c>
      <c r="V92" s="17">
        <v>128</v>
      </c>
    </row>
    <row r="93" spans="1:22" hidden="1">
      <c r="A93" s="17" t="s">
        <v>1545</v>
      </c>
      <c r="B93" s="38">
        <v>3.7900000000000003E-2</v>
      </c>
      <c r="C93" s="38">
        <v>-1.2E-2</v>
      </c>
      <c r="D93" s="38">
        <v>2.6599999999999999E-2</v>
      </c>
      <c r="E93" s="38">
        <v>1.0500000000000001E-2</v>
      </c>
      <c r="F93" s="38">
        <v>-1.9E-2</v>
      </c>
      <c r="G93" s="38">
        <v>2.92E-2</v>
      </c>
      <c r="H93" s="38">
        <v>3.27E-2</v>
      </c>
      <c r="I93" s="38">
        <v>3.32E-2</v>
      </c>
      <c r="J93" s="38">
        <v>-2.12E-2</v>
      </c>
      <c r="K93" s="38">
        <v>-2.46E-2</v>
      </c>
      <c r="L93" s="38">
        <v>-3.09E-2</v>
      </c>
      <c r="M93" s="38">
        <v>7.0000000000000001E-3</v>
      </c>
      <c r="N93" s="17">
        <v>0.3</v>
      </c>
      <c r="O93" s="34">
        <v>2.0000000000000001E-4</v>
      </c>
      <c r="P93" s="17">
        <v>0.09</v>
      </c>
      <c r="Q93" s="17">
        <v>-0.05</v>
      </c>
      <c r="R93" s="17">
        <v>0.94599999999999995</v>
      </c>
      <c r="S93" s="17">
        <v>0.76</v>
      </c>
      <c r="T93" s="17">
        <v>20081231</v>
      </c>
      <c r="U93" s="17">
        <v>20190731</v>
      </c>
      <c r="V93" s="17">
        <v>128</v>
      </c>
    </row>
    <row r="94" spans="1:22" hidden="1">
      <c r="A94" s="17" t="s">
        <v>1546</v>
      </c>
      <c r="B94" s="38">
        <v>0.12130000000000001</v>
      </c>
      <c r="C94" s="38">
        <v>4.7300000000000002E-2</v>
      </c>
      <c r="D94" s="38">
        <v>6.0699999999999997E-2</v>
      </c>
      <c r="E94" s="38">
        <v>8.6900000000000005E-2</v>
      </c>
      <c r="F94" s="38">
        <v>4.4400000000000002E-2</v>
      </c>
      <c r="G94" s="38">
        <v>8.4599999999999995E-2</v>
      </c>
      <c r="H94" s="38">
        <v>0.14199999999999999</v>
      </c>
      <c r="I94" s="38">
        <v>7.6799999999999993E-2</v>
      </c>
      <c r="J94" s="38">
        <v>2.9600000000000001E-2</v>
      </c>
      <c r="K94" s="38">
        <v>4.0800000000000003E-2</v>
      </c>
      <c r="L94" s="38">
        <v>9.2799999999999994E-2</v>
      </c>
      <c r="M94" s="38">
        <v>7.4999999999999997E-2</v>
      </c>
      <c r="N94" s="17">
        <v>2.5099999999999998</v>
      </c>
      <c r="O94" s="17">
        <v>5.7000000000000002E-3</v>
      </c>
      <c r="P94" s="17">
        <v>1.74</v>
      </c>
      <c r="Q94" s="17">
        <v>2.37</v>
      </c>
      <c r="R94" s="17">
        <v>0.999</v>
      </c>
      <c r="S94" s="17">
        <v>0.34</v>
      </c>
      <c r="T94" s="17">
        <v>20081231</v>
      </c>
      <c r="U94" s="17">
        <v>20190731</v>
      </c>
      <c r="V94" s="17">
        <v>128</v>
      </c>
    </row>
    <row r="95" spans="1:22" hidden="1">
      <c r="A95" s="17" t="s">
        <v>1597</v>
      </c>
      <c r="B95" s="38">
        <v>5.16E-2</v>
      </c>
      <c r="C95" s="38">
        <v>4.2599999999999999E-2</v>
      </c>
      <c r="D95" s="38">
        <v>5.0799999999999998E-2</v>
      </c>
      <c r="E95" s="38">
        <v>7.0499999999999993E-2</v>
      </c>
      <c r="F95" s="38">
        <v>6.3700000000000007E-2</v>
      </c>
      <c r="G95" s="38">
        <v>9.0800000000000006E-2</v>
      </c>
      <c r="H95" s="38">
        <v>6.3700000000000007E-2</v>
      </c>
      <c r="I95" s="38">
        <v>0.10680000000000001</v>
      </c>
      <c r="J95" s="38">
        <v>7.9799999999999996E-2</v>
      </c>
      <c r="K95" s="38">
        <v>6.9199999999999998E-2</v>
      </c>
      <c r="L95" s="38">
        <v>7.6999999999999999E-2</v>
      </c>
      <c r="M95" s="38">
        <v>6.9000000000000006E-2</v>
      </c>
      <c r="N95" s="17">
        <v>4.3</v>
      </c>
      <c r="O95" s="17">
        <v>5.1999999999999998E-3</v>
      </c>
      <c r="P95" s="17">
        <v>2.83</v>
      </c>
      <c r="Q95" s="17">
        <v>2.4300000000000002</v>
      </c>
      <c r="R95" s="17">
        <v>0.88800000000000001</v>
      </c>
      <c r="S95" s="17">
        <v>0.44</v>
      </c>
      <c r="T95" s="17">
        <v>20081231</v>
      </c>
      <c r="U95" s="17">
        <v>20190731</v>
      </c>
      <c r="V95" s="17">
        <v>128</v>
      </c>
    </row>
    <row r="96" spans="1:22" hidden="1">
      <c r="A96" s="17" t="s">
        <v>1598</v>
      </c>
      <c r="B96" s="38">
        <v>4.19E-2</v>
      </c>
      <c r="C96" s="38">
        <v>4.4999999999999998E-2</v>
      </c>
      <c r="D96" s="38">
        <v>5.4600000000000003E-2</v>
      </c>
      <c r="E96" s="38">
        <v>8.72E-2</v>
      </c>
      <c r="F96" s="38">
        <v>7.0300000000000001E-2</v>
      </c>
      <c r="G96" s="38">
        <v>8.8400000000000006E-2</v>
      </c>
      <c r="H96" s="38">
        <v>7.7600000000000002E-2</v>
      </c>
      <c r="I96" s="38">
        <v>0.10680000000000001</v>
      </c>
      <c r="J96" s="38">
        <v>6.9199999999999998E-2</v>
      </c>
      <c r="K96" s="38">
        <v>6.9699999999999998E-2</v>
      </c>
      <c r="L96" s="38">
        <v>7.9200000000000007E-2</v>
      </c>
      <c r="M96" s="38">
        <v>7.1999999999999995E-2</v>
      </c>
      <c r="N96" s="17">
        <v>4.5</v>
      </c>
      <c r="O96" s="17">
        <v>5.4000000000000003E-3</v>
      </c>
      <c r="P96" s="17">
        <v>3</v>
      </c>
      <c r="Q96" s="17">
        <v>2.4900000000000002</v>
      </c>
      <c r="R96" s="17">
        <v>0.88800000000000001</v>
      </c>
      <c r="S96" s="17">
        <v>0.46</v>
      </c>
      <c r="T96" s="17">
        <v>20081231</v>
      </c>
      <c r="U96" s="17">
        <v>20190731</v>
      </c>
      <c r="V96" s="17">
        <v>128</v>
      </c>
    </row>
    <row r="97" spans="1:22">
      <c r="A97" s="17" t="s">
        <v>681</v>
      </c>
      <c r="B97" s="38">
        <v>3.2199999999999999E-2</v>
      </c>
      <c r="C97" s="38">
        <v>8.3999999999999995E-3</v>
      </c>
      <c r="D97" s="38">
        <v>4.7300000000000002E-2</v>
      </c>
      <c r="E97" s="38">
        <v>4.65E-2</v>
      </c>
      <c r="F97" s="38">
        <v>-1.5800000000000002E-2</v>
      </c>
      <c r="G97" s="38">
        <v>1.5299999999999999E-2</v>
      </c>
      <c r="H97" s="38">
        <v>3.3799999999999997E-2</v>
      </c>
      <c r="I97" s="38">
        <v>5.9700000000000003E-2</v>
      </c>
      <c r="J97" s="38">
        <v>-5.1000000000000004E-3</v>
      </c>
      <c r="K97" s="38">
        <v>1.7600000000000001E-2</v>
      </c>
      <c r="L97" s="38">
        <v>4.5199999999999997E-2</v>
      </c>
      <c r="M97" s="38">
        <v>2.5000000000000001E-2</v>
      </c>
      <c r="N97" s="17">
        <v>1.1200000000000001</v>
      </c>
      <c r="O97" s="17">
        <v>1.1999999999999999E-3</v>
      </c>
      <c r="P97" s="17">
        <v>0.55000000000000004</v>
      </c>
      <c r="Q97" s="17">
        <v>0.49</v>
      </c>
      <c r="R97" s="17">
        <v>0.999</v>
      </c>
      <c r="S97" s="17">
        <v>0.73</v>
      </c>
      <c r="T97" s="17">
        <v>20081231</v>
      </c>
      <c r="U97" s="17">
        <v>20190731</v>
      </c>
      <c r="V97" s="17">
        <v>128</v>
      </c>
    </row>
    <row r="98" spans="1:22" hidden="1">
      <c r="A98" s="17" t="s">
        <v>1548</v>
      </c>
      <c r="B98" s="38">
        <v>5.7599999999999998E-2</v>
      </c>
      <c r="C98" s="38">
        <v>7.3099999999999998E-2</v>
      </c>
      <c r="D98" s="38">
        <v>7.8799999999999995E-2</v>
      </c>
      <c r="E98" s="38">
        <v>5.3699999999999998E-2</v>
      </c>
      <c r="F98" s="38">
        <v>4.7100000000000003E-2</v>
      </c>
      <c r="G98" s="38">
        <v>4.6100000000000002E-2</v>
      </c>
      <c r="H98" s="38">
        <v>7.7100000000000002E-2</v>
      </c>
      <c r="I98" s="38">
        <v>4.19E-2</v>
      </c>
      <c r="J98" s="38">
        <v>3.9E-2</v>
      </c>
      <c r="K98" s="38">
        <v>1E-4</v>
      </c>
      <c r="L98" s="38">
        <v>4.9000000000000002E-2</v>
      </c>
      <c r="M98" s="38">
        <v>5.0999999999999997E-2</v>
      </c>
      <c r="N98" s="17">
        <v>3.21</v>
      </c>
      <c r="O98" s="17">
        <v>4.1000000000000003E-3</v>
      </c>
      <c r="P98" s="17">
        <v>2.68</v>
      </c>
      <c r="Q98" s="17">
        <v>1.1000000000000001</v>
      </c>
      <c r="R98" s="17">
        <v>0.39900000000000002</v>
      </c>
      <c r="S98" s="17">
        <v>0.69</v>
      </c>
      <c r="T98" s="17">
        <v>20081231</v>
      </c>
      <c r="U98" s="17">
        <v>20190731</v>
      </c>
      <c r="V98" s="17">
        <v>128</v>
      </c>
    </row>
    <row r="99" spans="1:22" hidden="1">
      <c r="A99" s="17" t="s">
        <v>1549</v>
      </c>
      <c r="B99" s="38">
        <v>4.2000000000000003E-2</v>
      </c>
      <c r="C99" s="38">
        <v>5.5899999999999998E-2</v>
      </c>
      <c r="D99" s="38">
        <v>6.7100000000000007E-2</v>
      </c>
      <c r="E99" s="38">
        <v>4.9299999999999997E-2</v>
      </c>
      <c r="F99" s="38">
        <v>3.3099999999999997E-2</v>
      </c>
      <c r="G99" s="38">
        <v>4.5100000000000001E-2</v>
      </c>
      <c r="H99" s="38">
        <v>4.8599999999999997E-2</v>
      </c>
      <c r="I99" s="38">
        <v>3.3599999999999998E-2</v>
      </c>
      <c r="J99" s="38">
        <v>3.4700000000000002E-2</v>
      </c>
      <c r="K99" s="38">
        <v>5.7999999999999996E-3</v>
      </c>
      <c r="L99" s="38">
        <v>3.4200000000000001E-2</v>
      </c>
      <c r="M99" s="38">
        <v>4.1000000000000002E-2</v>
      </c>
      <c r="N99" s="17">
        <v>2.72</v>
      </c>
      <c r="O99" s="17">
        <v>3.2000000000000002E-3</v>
      </c>
      <c r="P99" s="17">
        <v>2.2200000000000002</v>
      </c>
      <c r="Q99" s="17">
        <v>0.89</v>
      </c>
      <c r="R99" s="17">
        <v>0.40600000000000003</v>
      </c>
      <c r="S99" s="17">
        <v>0.7</v>
      </c>
      <c r="T99" s="17">
        <v>20081231</v>
      </c>
      <c r="U99" s="17">
        <v>20190731</v>
      </c>
      <c r="V99" s="17">
        <v>128</v>
      </c>
    </row>
    <row r="100" spans="1:22" hidden="1">
      <c r="A100" s="17" t="s">
        <v>1550</v>
      </c>
      <c r="B100" s="38">
        <v>0.1212</v>
      </c>
      <c r="C100" s="38">
        <v>4.4200000000000003E-2</v>
      </c>
      <c r="D100" s="38">
        <v>6.1800000000000001E-2</v>
      </c>
      <c r="E100" s="38">
        <v>8.0799999999999997E-2</v>
      </c>
      <c r="F100" s="38">
        <v>4.2900000000000001E-2</v>
      </c>
      <c r="G100" s="38">
        <v>8.0799999999999997E-2</v>
      </c>
      <c r="H100" s="38">
        <v>0.1411</v>
      </c>
      <c r="I100" s="38">
        <v>8.9099999999999999E-2</v>
      </c>
      <c r="J100" s="38">
        <v>2.46E-2</v>
      </c>
      <c r="K100" s="38">
        <v>3.3000000000000002E-2</v>
      </c>
      <c r="L100" s="38">
        <v>7.8399999999999997E-2</v>
      </c>
      <c r="M100" s="38">
        <v>7.1999999999999995E-2</v>
      </c>
      <c r="N100" s="17">
        <v>3.05</v>
      </c>
      <c r="O100" s="17">
        <v>4.7999999999999996E-3</v>
      </c>
      <c r="P100" s="17">
        <v>2.04</v>
      </c>
      <c r="Q100" s="17">
        <v>1.9</v>
      </c>
      <c r="R100" s="17">
        <v>0.92500000000000004</v>
      </c>
      <c r="S100" s="17">
        <v>0.34</v>
      </c>
      <c r="T100" s="17">
        <v>20081231</v>
      </c>
      <c r="U100" s="17">
        <v>20190731</v>
      </c>
      <c r="V100" s="17">
        <v>128</v>
      </c>
    </row>
    <row r="101" spans="1:22" hidden="1">
      <c r="A101" s="17" t="s">
        <v>1775</v>
      </c>
      <c r="B101" s="38">
        <v>7.5700000000000003E-2</v>
      </c>
      <c r="C101" s="38">
        <v>3.9399999999999998E-2</v>
      </c>
      <c r="D101" s="38">
        <v>5.7299999999999997E-2</v>
      </c>
      <c r="E101" s="38">
        <v>5.2299999999999999E-2</v>
      </c>
      <c r="F101" s="38">
        <v>-5.7000000000000002E-3</v>
      </c>
      <c r="G101" s="38">
        <v>3.7100000000000001E-2</v>
      </c>
      <c r="H101" s="38">
        <v>8.9300000000000004E-2</v>
      </c>
      <c r="I101" s="38">
        <v>4.9200000000000001E-2</v>
      </c>
      <c r="J101" s="38">
        <v>2.3199999999999998E-2</v>
      </c>
      <c r="K101" s="38">
        <v>-2.07E-2</v>
      </c>
      <c r="L101" s="38">
        <v>4.4499999999999998E-2</v>
      </c>
      <c r="M101" s="38">
        <v>0.04</v>
      </c>
      <c r="N101" s="17">
        <v>1.65</v>
      </c>
      <c r="O101" s="17">
        <v>3.0999999999999999E-3</v>
      </c>
      <c r="P101" s="17">
        <v>1.17</v>
      </c>
      <c r="Q101" s="17">
        <v>0.65</v>
      </c>
      <c r="R101" s="17">
        <v>0.26200000000000001</v>
      </c>
      <c r="S101" s="17">
        <v>0.62</v>
      </c>
      <c r="T101" s="17">
        <v>20081231</v>
      </c>
      <c r="U101" s="17">
        <v>20190731</v>
      </c>
      <c r="V101" s="17">
        <v>128</v>
      </c>
    </row>
    <row r="102" spans="1:22" hidden="1">
      <c r="A102" s="17" t="s">
        <v>1551</v>
      </c>
      <c r="B102" s="38">
        <v>6.3799999999999996E-2</v>
      </c>
      <c r="C102" s="38">
        <v>5.0500000000000003E-2</v>
      </c>
      <c r="D102" s="38">
        <v>5.28E-2</v>
      </c>
      <c r="E102" s="38">
        <v>7.0300000000000001E-2</v>
      </c>
      <c r="F102" s="38">
        <v>2.6200000000000001E-2</v>
      </c>
      <c r="G102" s="38">
        <v>4.65E-2</v>
      </c>
      <c r="H102" s="38">
        <v>0.1012</v>
      </c>
      <c r="I102" s="38">
        <v>4.2799999999999998E-2</v>
      </c>
      <c r="J102" s="38">
        <v>3.6799999999999999E-2</v>
      </c>
      <c r="K102" s="38">
        <v>-9.7999999999999997E-3</v>
      </c>
      <c r="L102" s="38">
        <v>3.2199999999999999E-2</v>
      </c>
      <c r="M102" s="38">
        <v>4.7E-2</v>
      </c>
      <c r="N102" s="17">
        <v>2.48</v>
      </c>
      <c r="O102" s="17">
        <v>3.8999999999999998E-3</v>
      </c>
      <c r="P102" s="17">
        <v>1.74</v>
      </c>
      <c r="Q102" s="17">
        <v>1.1200000000000001</v>
      </c>
      <c r="R102" s="17">
        <v>0.53800000000000003</v>
      </c>
      <c r="S102" s="17">
        <v>0.68</v>
      </c>
      <c r="T102" s="17">
        <v>20081231</v>
      </c>
      <c r="U102" s="17">
        <v>20190731</v>
      </c>
      <c r="V102" s="17">
        <v>128</v>
      </c>
    </row>
    <row r="103" spans="1:22" hidden="1">
      <c r="A103" s="17" t="s">
        <v>1552</v>
      </c>
      <c r="B103" s="38">
        <v>1.15E-2</v>
      </c>
      <c r="C103" s="38">
        <v>2.9100000000000001E-2</v>
      </c>
      <c r="D103" s="38">
        <v>2.2499999999999999E-2</v>
      </c>
      <c r="E103" s="38">
        <v>4.2999999999999997E-2</v>
      </c>
      <c r="F103" s="38">
        <v>3.39E-2</v>
      </c>
      <c r="G103" s="38">
        <v>1.15E-2</v>
      </c>
      <c r="H103" s="38">
        <v>1.9900000000000001E-2</v>
      </c>
      <c r="I103" s="38">
        <v>6.8599999999999994E-2</v>
      </c>
      <c r="J103" s="38">
        <v>3.7699999999999997E-2</v>
      </c>
      <c r="K103" s="38">
        <v>3.7100000000000001E-2</v>
      </c>
      <c r="L103" s="38">
        <v>4.0300000000000002E-2</v>
      </c>
      <c r="M103" s="38">
        <v>3.2000000000000001E-2</v>
      </c>
      <c r="N103" s="17">
        <v>2.09</v>
      </c>
      <c r="O103" s="17">
        <v>1.6000000000000001E-3</v>
      </c>
      <c r="P103" s="17">
        <v>1.0900000000000001</v>
      </c>
      <c r="Q103" s="17">
        <v>0.82</v>
      </c>
      <c r="R103" s="17">
        <v>0.99399999999999999</v>
      </c>
      <c r="S103" s="17">
        <v>0.89</v>
      </c>
      <c r="T103" s="17">
        <v>20081231</v>
      </c>
      <c r="U103" s="17">
        <v>20190731</v>
      </c>
      <c r="V103" s="17">
        <v>128</v>
      </c>
    </row>
    <row r="104" spans="1:22" hidden="1">
      <c r="A104" s="17" t="s">
        <v>1553</v>
      </c>
      <c r="B104" s="38">
        <v>5.96E-2</v>
      </c>
      <c r="C104" s="38">
        <v>2.18E-2</v>
      </c>
      <c r="D104" s="38">
        <v>5.3600000000000002E-2</v>
      </c>
      <c r="E104" s="38">
        <v>3.6900000000000002E-2</v>
      </c>
      <c r="F104" s="38">
        <v>2.0899999999999998E-2</v>
      </c>
      <c r="G104" s="38">
        <v>7.5200000000000003E-2</v>
      </c>
      <c r="H104" s="38">
        <v>3.4200000000000001E-2</v>
      </c>
      <c r="I104" s="38">
        <v>9.4500000000000001E-2</v>
      </c>
      <c r="J104" s="38">
        <v>5.6000000000000001E-2</v>
      </c>
      <c r="K104" s="38">
        <v>5.5199999999999999E-2</v>
      </c>
      <c r="L104" s="38">
        <v>5.5800000000000002E-2</v>
      </c>
      <c r="M104" s="38">
        <v>5.0999999999999997E-2</v>
      </c>
      <c r="N104" s="17">
        <v>2.4500000000000002</v>
      </c>
      <c r="O104" s="17">
        <v>3.8999999999999998E-3</v>
      </c>
      <c r="P104" s="17">
        <v>1.72</v>
      </c>
      <c r="Q104" s="17">
        <v>1.65</v>
      </c>
      <c r="R104" s="17">
        <v>0.95599999999999996</v>
      </c>
      <c r="S104" s="17">
        <v>0.98</v>
      </c>
      <c r="T104" s="17">
        <v>20081231</v>
      </c>
      <c r="U104" s="17">
        <v>20190731</v>
      </c>
      <c r="V104" s="17">
        <v>128</v>
      </c>
    </row>
    <row r="105" spans="1:22" hidden="1">
      <c r="A105" s="17" t="s">
        <v>1554</v>
      </c>
      <c r="B105" s="38">
        <v>8.6900000000000005E-2</v>
      </c>
      <c r="C105" s="38">
        <v>5.7299999999999997E-2</v>
      </c>
      <c r="D105" s="38">
        <v>9.0999999999999998E-2</v>
      </c>
      <c r="E105" s="38">
        <v>7.7100000000000002E-2</v>
      </c>
      <c r="F105" s="38">
        <v>6.0299999999999999E-2</v>
      </c>
      <c r="G105" s="38">
        <v>0.10539999999999999</v>
      </c>
      <c r="H105" s="38">
        <v>8.0799999999999997E-2</v>
      </c>
      <c r="I105" s="38">
        <v>0.14000000000000001</v>
      </c>
      <c r="J105" s="38">
        <v>7.5200000000000003E-2</v>
      </c>
      <c r="K105" s="38">
        <v>7.4999999999999997E-2</v>
      </c>
      <c r="L105" s="38">
        <v>7.8799999999999995E-2</v>
      </c>
      <c r="M105" s="38">
        <v>8.5000000000000006E-2</v>
      </c>
      <c r="N105" s="17">
        <v>3.59</v>
      </c>
      <c r="O105" s="17">
        <v>6.4999999999999997E-3</v>
      </c>
      <c r="P105" s="17">
        <v>2.4</v>
      </c>
      <c r="Q105" s="17">
        <v>2.91</v>
      </c>
      <c r="R105" s="17">
        <v>0.95</v>
      </c>
      <c r="S105" s="17">
        <v>0.75</v>
      </c>
      <c r="T105" s="17">
        <v>20081231</v>
      </c>
      <c r="U105" s="17">
        <v>20190731</v>
      </c>
      <c r="V105" s="17">
        <v>128</v>
      </c>
    </row>
    <row r="106" spans="1:22" hidden="1">
      <c r="A106" s="17" t="s">
        <v>1555</v>
      </c>
      <c r="B106" s="38">
        <v>5.1400000000000001E-2</v>
      </c>
      <c r="C106" s="38">
        <v>1.3599999999999999E-2</v>
      </c>
      <c r="D106" s="38">
        <v>3.2899999999999999E-2</v>
      </c>
      <c r="E106" s="38">
        <v>2.06E-2</v>
      </c>
      <c r="F106" s="38">
        <v>1.1599999999999999E-2</v>
      </c>
      <c r="G106" s="38">
        <v>6.6799999999999998E-2</v>
      </c>
      <c r="H106" s="38">
        <v>1.6400000000000001E-2</v>
      </c>
      <c r="I106" s="38">
        <v>7.8600000000000003E-2</v>
      </c>
      <c r="J106" s="38">
        <v>5.0999999999999997E-2</v>
      </c>
      <c r="K106" s="38">
        <v>6.0299999999999999E-2</v>
      </c>
      <c r="L106" s="38">
        <v>3.2099999999999997E-2</v>
      </c>
      <c r="M106" s="38">
        <v>0.04</v>
      </c>
      <c r="N106" s="17">
        <v>1.96</v>
      </c>
      <c r="O106" s="17">
        <v>2.8999999999999998E-3</v>
      </c>
      <c r="P106" s="17">
        <v>1.25</v>
      </c>
      <c r="Q106" s="17">
        <v>1.2</v>
      </c>
      <c r="R106" s="17">
        <v>0.94699999999999995</v>
      </c>
      <c r="S106" s="17">
        <v>0.99</v>
      </c>
      <c r="T106" s="17">
        <v>20081231</v>
      </c>
      <c r="U106" s="17">
        <v>20190731</v>
      </c>
      <c r="V106" s="17">
        <v>128</v>
      </c>
    </row>
    <row r="107" spans="1:22" hidden="1">
      <c r="A107" s="17" t="s">
        <v>1556</v>
      </c>
      <c r="B107" s="38">
        <v>6.7000000000000004E-2</v>
      </c>
      <c r="C107" s="38">
        <v>3.5200000000000002E-2</v>
      </c>
      <c r="D107" s="38">
        <v>7.4700000000000003E-2</v>
      </c>
      <c r="E107" s="38">
        <v>6.6799999999999998E-2</v>
      </c>
      <c r="F107" s="38">
        <v>4.07E-2</v>
      </c>
      <c r="G107" s="38">
        <v>8.8499999999999995E-2</v>
      </c>
      <c r="H107" s="38">
        <v>6.2899999999999998E-2</v>
      </c>
      <c r="I107" s="38">
        <v>0.1222</v>
      </c>
      <c r="J107" s="38">
        <v>6.6500000000000004E-2</v>
      </c>
      <c r="K107" s="38">
        <v>6.6100000000000006E-2</v>
      </c>
      <c r="L107" s="38">
        <v>6.5600000000000006E-2</v>
      </c>
      <c r="M107" s="38">
        <v>6.9000000000000006E-2</v>
      </c>
      <c r="N107" s="17">
        <v>2.95</v>
      </c>
      <c r="O107" s="17">
        <v>5.1999999999999998E-3</v>
      </c>
      <c r="P107" s="17">
        <v>1.98</v>
      </c>
      <c r="Q107" s="17">
        <v>2.3199999999999998</v>
      </c>
      <c r="R107" s="17">
        <v>0.94799999999999995</v>
      </c>
      <c r="S107" s="17">
        <v>0.93</v>
      </c>
      <c r="T107" s="17">
        <v>20081231</v>
      </c>
      <c r="U107" s="17">
        <v>20190731</v>
      </c>
      <c r="V107" s="17">
        <v>128</v>
      </c>
    </row>
    <row r="108" spans="1:22" hidden="1">
      <c r="A108" s="17" t="s">
        <v>1557</v>
      </c>
      <c r="B108" s="38">
        <v>6.3E-2</v>
      </c>
      <c r="C108" s="38">
        <v>2.8400000000000002E-2</v>
      </c>
      <c r="D108" s="38">
        <v>6.54E-2</v>
      </c>
      <c r="E108" s="38">
        <v>5.0599999999999999E-2</v>
      </c>
      <c r="F108" s="38">
        <v>2.9499999999999998E-2</v>
      </c>
      <c r="G108" s="38">
        <v>7.8E-2</v>
      </c>
      <c r="H108" s="38">
        <v>4.58E-2</v>
      </c>
      <c r="I108" s="38">
        <v>0.1091</v>
      </c>
      <c r="J108" s="38">
        <v>6.0499999999999998E-2</v>
      </c>
      <c r="K108" s="38">
        <v>5.6099999999999997E-2</v>
      </c>
      <c r="L108" s="38">
        <v>6.4500000000000002E-2</v>
      </c>
      <c r="M108" s="38">
        <v>5.8999999999999997E-2</v>
      </c>
      <c r="N108" s="17">
        <v>2.63</v>
      </c>
      <c r="O108" s="17">
        <v>4.4999999999999997E-3</v>
      </c>
      <c r="P108" s="17">
        <v>1.87</v>
      </c>
      <c r="Q108" s="17">
        <v>1.99</v>
      </c>
      <c r="R108" s="17">
        <v>0.94599999999999995</v>
      </c>
      <c r="S108" s="17">
        <v>0.97</v>
      </c>
      <c r="T108" s="17">
        <v>20081231</v>
      </c>
      <c r="U108" s="17">
        <v>20190731</v>
      </c>
      <c r="V108" s="17">
        <v>128</v>
      </c>
    </row>
    <row r="109" spans="1:22" hidden="1">
      <c r="A109" s="17" t="s">
        <v>1558</v>
      </c>
      <c r="B109" s="38">
        <v>5.9700000000000003E-2</v>
      </c>
      <c r="C109" s="38">
        <v>2.1700000000000001E-2</v>
      </c>
      <c r="D109" s="38">
        <v>5.3600000000000002E-2</v>
      </c>
      <c r="E109" s="38">
        <v>3.6900000000000002E-2</v>
      </c>
      <c r="F109" s="38">
        <v>2.0899999999999998E-2</v>
      </c>
      <c r="G109" s="38">
        <v>7.51E-2</v>
      </c>
      <c r="H109" s="38">
        <v>3.4099999999999998E-2</v>
      </c>
      <c r="I109" s="38">
        <v>9.4399999999999998E-2</v>
      </c>
      <c r="J109" s="38">
        <v>5.6000000000000001E-2</v>
      </c>
      <c r="K109" s="38">
        <v>5.5199999999999999E-2</v>
      </c>
      <c r="L109" s="38">
        <v>5.57E-2</v>
      </c>
      <c r="M109" s="38">
        <v>5.0999999999999997E-2</v>
      </c>
      <c r="N109" s="17">
        <v>2.4500000000000002</v>
      </c>
      <c r="O109" s="17">
        <v>3.8999999999999998E-3</v>
      </c>
      <c r="P109" s="17">
        <v>1.72</v>
      </c>
      <c r="Q109" s="17">
        <v>1.65</v>
      </c>
      <c r="R109" s="17">
        <v>0.95599999999999996</v>
      </c>
      <c r="S109" s="17">
        <v>0.98</v>
      </c>
      <c r="T109" s="17">
        <v>20081231</v>
      </c>
      <c r="U109" s="17">
        <v>20190731</v>
      </c>
      <c r="V109" s="17">
        <v>128</v>
      </c>
    </row>
    <row r="110" spans="1:22" hidden="1">
      <c r="A110" s="17" t="s">
        <v>1559</v>
      </c>
      <c r="B110" s="38">
        <v>8.6699999999999999E-2</v>
      </c>
      <c r="C110" s="38">
        <v>5.7299999999999997E-2</v>
      </c>
      <c r="D110" s="38">
        <v>9.0800000000000006E-2</v>
      </c>
      <c r="E110" s="38">
        <v>7.6999999999999999E-2</v>
      </c>
      <c r="F110" s="38">
        <v>6.0199999999999997E-2</v>
      </c>
      <c r="G110" s="38">
        <v>0.1052</v>
      </c>
      <c r="H110" s="38">
        <v>8.0199999999999994E-2</v>
      </c>
      <c r="I110" s="38">
        <v>0.13980000000000001</v>
      </c>
      <c r="J110" s="38">
        <v>7.51E-2</v>
      </c>
      <c r="K110" s="38">
        <v>7.4899999999999994E-2</v>
      </c>
      <c r="L110" s="38">
        <v>7.8600000000000003E-2</v>
      </c>
      <c r="M110" s="38">
        <v>8.4000000000000005E-2</v>
      </c>
      <c r="N110" s="17">
        <v>3.58</v>
      </c>
      <c r="O110" s="17">
        <v>6.4999999999999997E-3</v>
      </c>
      <c r="P110" s="17">
        <v>2.39</v>
      </c>
      <c r="Q110" s="17">
        <v>2.9</v>
      </c>
      <c r="R110" s="17">
        <v>0.95</v>
      </c>
      <c r="S110" s="17">
        <v>0.75</v>
      </c>
      <c r="T110" s="17">
        <v>20081231</v>
      </c>
      <c r="U110" s="17">
        <v>20190731</v>
      </c>
      <c r="V110" s="17">
        <v>128</v>
      </c>
    </row>
    <row r="111" spans="1:22" hidden="1">
      <c r="A111" s="17" t="s">
        <v>1560</v>
      </c>
      <c r="B111" s="38">
        <v>5.1400000000000001E-2</v>
      </c>
      <c r="C111" s="38">
        <v>1.3599999999999999E-2</v>
      </c>
      <c r="D111" s="38">
        <v>3.2899999999999999E-2</v>
      </c>
      <c r="E111" s="38">
        <v>2.0500000000000001E-2</v>
      </c>
      <c r="F111" s="38">
        <v>1.15E-2</v>
      </c>
      <c r="G111" s="38">
        <v>6.6699999999999995E-2</v>
      </c>
      <c r="H111" s="38">
        <v>1.6400000000000001E-2</v>
      </c>
      <c r="I111" s="38">
        <v>7.85E-2</v>
      </c>
      <c r="J111" s="38">
        <v>5.0999999999999997E-2</v>
      </c>
      <c r="K111" s="38">
        <v>6.0199999999999997E-2</v>
      </c>
      <c r="L111" s="38">
        <v>3.2000000000000001E-2</v>
      </c>
      <c r="M111" s="38">
        <v>0.04</v>
      </c>
      <c r="N111" s="17">
        <v>1.96</v>
      </c>
      <c r="O111" s="17">
        <v>2.8999999999999998E-3</v>
      </c>
      <c r="P111" s="17">
        <v>1.24</v>
      </c>
      <c r="Q111" s="17">
        <v>1.19</v>
      </c>
      <c r="R111" s="17">
        <v>0.94699999999999995</v>
      </c>
      <c r="S111" s="17">
        <v>0.99</v>
      </c>
      <c r="T111" s="17">
        <v>20081231</v>
      </c>
      <c r="U111" s="17">
        <v>20190731</v>
      </c>
      <c r="V111" s="17">
        <v>128</v>
      </c>
    </row>
    <row r="112" spans="1:22" hidden="1">
      <c r="A112" s="17" t="s">
        <v>1561</v>
      </c>
      <c r="B112" s="38">
        <v>6.6900000000000001E-2</v>
      </c>
      <c r="C112" s="38">
        <v>3.5200000000000002E-2</v>
      </c>
      <c r="D112" s="38">
        <v>7.4700000000000003E-2</v>
      </c>
      <c r="E112" s="38">
        <v>6.6699999999999995E-2</v>
      </c>
      <c r="F112" s="38">
        <v>4.0500000000000001E-2</v>
      </c>
      <c r="G112" s="38">
        <v>8.8400000000000006E-2</v>
      </c>
      <c r="H112" s="38">
        <v>6.2700000000000006E-2</v>
      </c>
      <c r="I112" s="38">
        <v>0.1221</v>
      </c>
      <c r="J112" s="38">
        <v>6.6400000000000001E-2</v>
      </c>
      <c r="K112" s="38">
        <v>6.6100000000000006E-2</v>
      </c>
      <c r="L112" s="38">
        <v>6.54E-2</v>
      </c>
      <c r="M112" s="38">
        <v>6.9000000000000006E-2</v>
      </c>
      <c r="N112" s="17">
        <v>2.94</v>
      </c>
      <c r="O112" s="17">
        <v>5.1999999999999998E-3</v>
      </c>
      <c r="P112" s="17">
        <v>1.97</v>
      </c>
      <c r="Q112" s="17">
        <v>2.3199999999999998</v>
      </c>
      <c r="R112" s="17">
        <v>0.94799999999999995</v>
      </c>
      <c r="S112" s="17">
        <v>0.93</v>
      </c>
      <c r="T112" s="17">
        <v>20081231</v>
      </c>
      <c r="U112" s="17">
        <v>20190731</v>
      </c>
      <c r="V112" s="17">
        <v>128</v>
      </c>
    </row>
    <row r="113" spans="1:22" hidden="1">
      <c r="A113" s="17" t="s">
        <v>1562</v>
      </c>
      <c r="B113" s="38">
        <v>6.2899999999999998E-2</v>
      </c>
      <c r="C113" s="38">
        <v>2.8400000000000002E-2</v>
      </c>
      <c r="D113" s="38">
        <v>6.54E-2</v>
      </c>
      <c r="E113" s="38">
        <v>5.0500000000000003E-2</v>
      </c>
      <c r="F113" s="38">
        <v>2.9399999999999999E-2</v>
      </c>
      <c r="G113" s="38">
        <v>7.7799999999999994E-2</v>
      </c>
      <c r="H113" s="38">
        <v>4.5600000000000002E-2</v>
      </c>
      <c r="I113" s="38">
        <v>0.109</v>
      </c>
      <c r="J113" s="38">
        <v>6.0400000000000002E-2</v>
      </c>
      <c r="K113" s="38">
        <v>5.6000000000000001E-2</v>
      </c>
      <c r="L113" s="38">
        <v>6.4399999999999999E-2</v>
      </c>
      <c r="M113" s="38">
        <v>5.8999999999999997E-2</v>
      </c>
      <c r="N113" s="17">
        <v>2.63</v>
      </c>
      <c r="O113" s="17">
        <v>4.4999999999999997E-3</v>
      </c>
      <c r="P113" s="17">
        <v>1.87</v>
      </c>
      <c r="Q113" s="17">
        <v>1.99</v>
      </c>
      <c r="R113" s="17">
        <v>0.94599999999999995</v>
      </c>
      <c r="S113" s="17">
        <v>0.97</v>
      </c>
      <c r="T113" s="17">
        <v>20081231</v>
      </c>
      <c r="U113" s="17">
        <v>20190731</v>
      </c>
      <c r="V113" s="17">
        <v>128</v>
      </c>
    </row>
    <row r="114" spans="1:22" hidden="1">
      <c r="A114" s="17" t="s">
        <v>1563</v>
      </c>
      <c r="B114" s="38">
        <v>8.4000000000000005E-2</v>
      </c>
      <c r="C114" s="38">
        <v>5.16E-2</v>
      </c>
      <c r="D114" s="38">
        <v>9.2899999999999996E-2</v>
      </c>
      <c r="E114" s="38">
        <v>7.8899999999999998E-2</v>
      </c>
      <c r="F114" s="38">
        <v>5.91E-2</v>
      </c>
      <c r="G114" s="38">
        <v>0.104</v>
      </c>
      <c r="H114" s="38">
        <v>7.4200000000000002E-2</v>
      </c>
      <c r="I114" s="38">
        <v>0.14030000000000001</v>
      </c>
      <c r="J114" s="38">
        <v>7.8E-2</v>
      </c>
      <c r="K114" s="38">
        <v>8.3099999999999993E-2</v>
      </c>
      <c r="L114" s="38">
        <v>7.9299999999999995E-2</v>
      </c>
      <c r="M114" s="38">
        <v>8.4000000000000005E-2</v>
      </c>
      <c r="N114" s="17">
        <v>3.45</v>
      </c>
      <c r="O114" s="17">
        <v>6.4000000000000003E-3</v>
      </c>
      <c r="P114" s="17">
        <v>2.2999999999999998</v>
      </c>
      <c r="Q114" s="17">
        <v>2.92</v>
      </c>
      <c r="R114" s="17">
        <v>0.96299999999999997</v>
      </c>
      <c r="S114" s="17">
        <v>0.85</v>
      </c>
      <c r="T114" s="17">
        <v>20081231</v>
      </c>
      <c r="U114" s="17">
        <v>20190731</v>
      </c>
      <c r="V114" s="17">
        <v>128</v>
      </c>
    </row>
    <row r="115" spans="1:22" hidden="1">
      <c r="A115" s="17" t="s">
        <v>1564</v>
      </c>
      <c r="B115" s="38">
        <v>4.6100000000000002E-2</v>
      </c>
      <c r="C115" s="38">
        <v>2.6800000000000001E-2</v>
      </c>
      <c r="D115" s="38">
        <v>7.1199999999999999E-2</v>
      </c>
      <c r="E115" s="38">
        <v>4.6300000000000001E-2</v>
      </c>
      <c r="F115" s="38">
        <v>4.58E-2</v>
      </c>
      <c r="G115" s="38">
        <v>0.1018</v>
      </c>
      <c r="H115" s="38">
        <v>-2.5999999999999999E-3</v>
      </c>
      <c r="I115" s="38">
        <v>0.1162</v>
      </c>
      <c r="J115" s="38">
        <v>8.2299999999999998E-2</v>
      </c>
      <c r="K115" s="38">
        <v>7.2499999999999995E-2</v>
      </c>
      <c r="L115" s="38">
        <v>6.1499999999999999E-2</v>
      </c>
      <c r="M115" s="38">
        <v>6.0999999999999999E-2</v>
      </c>
      <c r="N115" s="17">
        <v>1.97</v>
      </c>
      <c r="O115" s="17">
        <v>3.5000000000000001E-3</v>
      </c>
      <c r="P115" s="17">
        <v>1.04</v>
      </c>
      <c r="Q115" s="17">
        <v>1.65</v>
      </c>
      <c r="R115" s="17">
        <v>0.95599999999999996</v>
      </c>
      <c r="S115" s="17">
        <v>0.95</v>
      </c>
      <c r="T115" s="17">
        <v>20081231</v>
      </c>
      <c r="U115" s="17">
        <v>20190731</v>
      </c>
      <c r="V115" s="17">
        <v>128</v>
      </c>
    </row>
    <row r="116" spans="1:22" hidden="1">
      <c r="A116" s="17" t="s">
        <v>1565</v>
      </c>
      <c r="B116" s="38">
        <v>6.3299999999999995E-2</v>
      </c>
      <c r="C116" s="38">
        <v>4.2099999999999999E-2</v>
      </c>
      <c r="D116" s="38">
        <v>7.7700000000000005E-2</v>
      </c>
      <c r="E116" s="38">
        <v>4.3400000000000001E-2</v>
      </c>
      <c r="F116" s="38">
        <v>4.87E-2</v>
      </c>
      <c r="G116" s="38">
        <v>0.1074</v>
      </c>
      <c r="H116" s="38">
        <v>4.2099999999999999E-2</v>
      </c>
      <c r="I116" s="38">
        <v>0.13089999999999999</v>
      </c>
      <c r="J116" s="38">
        <v>8.3199999999999996E-2</v>
      </c>
      <c r="K116" s="38">
        <v>6.2300000000000001E-2</v>
      </c>
      <c r="L116" s="38">
        <v>7.3499999999999996E-2</v>
      </c>
      <c r="M116" s="38">
        <v>7.0000000000000007E-2</v>
      </c>
      <c r="N116" s="17">
        <v>2.4500000000000002</v>
      </c>
      <c r="O116" s="17">
        <v>3.8E-3</v>
      </c>
      <c r="P116" s="17">
        <v>1.3</v>
      </c>
      <c r="Q116" s="17">
        <v>1.89</v>
      </c>
      <c r="R116" s="17">
        <v>0.95</v>
      </c>
      <c r="S116" s="17">
        <v>0.46</v>
      </c>
      <c r="T116" s="17">
        <v>20081231</v>
      </c>
      <c r="U116" s="17">
        <v>20190731</v>
      </c>
      <c r="V116" s="17">
        <v>128</v>
      </c>
    </row>
    <row r="117" spans="1:22" hidden="1">
      <c r="A117" s="17" t="s">
        <v>1566</v>
      </c>
      <c r="B117" s="38">
        <v>2.8400000000000002E-2</v>
      </c>
      <c r="C117" s="38">
        <v>1.83E-2</v>
      </c>
      <c r="D117" s="38">
        <v>3.5900000000000001E-2</v>
      </c>
      <c r="E117" s="38">
        <v>3.9100000000000003E-2</v>
      </c>
      <c r="F117" s="38">
        <v>3.7100000000000001E-2</v>
      </c>
      <c r="G117" s="38">
        <v>8.9200000000000002E-2</v>
      </c>
      <c r="H117" s="38">
        <v>-7.9000000000000008E-3</v>
      </c>
      <c r="I117" s="38">
        <v>9.7000000000000003E-2</v>
      </c>
      <c r="J117" s="38">
        <v>7.7799999999999994E-2</v>
      </c>
      <c r="K117" s="38">
        <v>7.3800000000000004E-2</v>
      </c>
      <c r="L117" s="38">
        <v>4.2000000000000003E-2</v>
      </c>
      <c r="M117" s="38">
        <v>4.8000000000000001E-2</v>
      </c>
      <c r="N117" s="17">
        <v>1.71</v>
      </c>
      <c r="O117" s="17">
        <v>2.5000000000000001E-3</v>
      </c>
      <c r="P117" s="17">
        <v>0.8</v>
      </c>
      <c r="Q117" s="17">
        <v>1.24</v>
      </c>
      <c r="R117" s="17">
        <v>0.94699999999999995</v>
      </c>
      <c r="S117" s="17">
        <v>0.97</v>
      </c>
      <c r="T117" s="17">
        <v>20081231</v>
      </c>
      <c r="U117" s="17">
        <v>20190731</v>
      </c>
      <c r="V117" s="17">
        <v>128</v>
      </c>
    </row>
    <row r="118" spans="1:22" hidden="1">
      <c r="A118" s="17" t="s">
        <v>1567</v>
      </c>
      <c r="B118" s="38">
        <v>5.1799999999999999E-2</v>
      </c>
      <c r="C118" s="38">
        <v>2.98E-2</v>
      </c>
      <c r="D118" s="38">
        <v>8.43E-2</v>
      </c>
      <c r="E118" s="38">
        <v>5.3999999999999999E-2</v>
      </c>
      <c r="F118" s="38">
        <v>4.4499999999999998E-2</v>
      </c>
      <c r="G118" s="38">
        <v>0.1062</v>
      </c>
      <c r="H118" s="38">
        <v>2.98E-2</v>
      </c>
      <c r="I118" s="38">
        <v>0.1328</v>
      </c>
      <c r="J118" s="38">
        <v>8.2900000000000001E-2</v>
      </c>
      <c r="K118" s="38">
        <v>7.1900000000000006E-2</v>
      </c>
      <c r="L118" s="38">
        <v>6.2600000000000003E-2</v>
      </c>
      <c r="M118" s="38">
        <v>6.8000000000000005E-2</v>
      </c>
      <c r="N118" s="17">
        <v>2.1</v>
      </c>
      <c r="O118" s="17">
        <v>3.5000000000000001E-3</v>
      </c>
      <c r="P118" s="17">
        <v>1.05</v>
      </c>
      <c r="Q118" s="17">
        <v>1.78</v>
      </c>
      <c r="R118" s="17">
        <v>0.94799999999999995</v>
      </c>
      <c r="S118" s="17">
        <v>0.85</v>
      </c>
      <c r="T118" s="17">
        <v>20081231</v>
      </c>
      <c r="U118" s="17">
        <v>20190731</v>
      </c>
      <c r="V118" s="17">
        <v>128</v>
      </c>
    </row>
    <row r="119" spans="1:22" hidden="1">
      <c r="A119" s="17" t="s">
        <v>1568</v>
      </c>
      <c r="B119" s="38">
        <v>4.3900000000000002E-2</v>
      </c>
      <c r="C119" s="38">
        <v>3.04E-2</v>
      </c>
      <c r="D119" s="38">
        <v>0.08</v>
      </c>
      <c r="E119" s="38">
        <v>4.4999999999999998E-2</v>
      </c>
      <c r="F119" s="38">
        <v>4.8899999999999999E-2</v>
      </c>
      <c r="G119" s="38">
        <v>0.1004</v>
      </c>
      <c r="H119" s="38">
        <v>1.09E-2</v>
      </c>
      <c r="I119" s="38">
        <v>0.1265</v>
      </c>
      <c r="J119" s="38">
        <v>8.5400000000000004E-2</v>
      </c>
      <c r="K119" s="38">
        <v>7.22E-2</v>
      </c>
      <c r="L119" s="38">
        <v>6.7900000000000002E-2</v>
      </c>
      <c r="M119" s="38">
        <v>6.5000000000000002E-2</v>
      </c>
      <c r="N119" s="17">
        <v>2.0299999999999998</v>
      </c>
      <c r="O119" s="17">
        <v>3.3999999999999998E-3</v>
      </c>
      <c r="P119" s="17">
        <v>1.03</v>
      </c>
      <c r="Q119" s="17">
        <v>1.7</v>
      </c>
      <c r="R119" s="17">
        <v>0.94599999999999995</v>
      </c>
      <c r="S119" s="17">
        <v>0.93</v>
      </c>
      <c r="T119" s="17">
        <v>20081231</v>
      </c>
      <c r="U119" s="17">
        <v>20190731</v>
      </c>
      <c r="V119" s="17">
        <v>128</v>
      </c>
    </row>
    <row r="120" spans="1:22" hidden="1">
      <c r="A120" s="17" t="s">
        <v>1569</v>
      </c>
      <c r="B120" s="38">
        <v>5.4300000000000001E-2</v>
      </c>
      <c r="C120" s="38">
        <v>3.2199999999999999E-2</v>
      </c>
      <c r="D120" s="38">
        <v>6.7599999999999993E-2</v>
      </c>
      <c r="E120" s="38">
        <v>5.0500000000000003E-2</v>
      </c>
      <c r="F120" s="38">
        <v>5.4300000000000001E-2</v>
      </c>
      <c r="G120" s="38">
        <v>8.4900000000000003E-2</v>
      </c>
      <c r="H120" s="38">
        <v>3.2300000000000002E-2</v>
      </c>
      <c r="I120" s="38">
        <v>5.74E-2</v>
      </c>
      <c r="J120" s="38">
        <v>9.3600000000000003E-2</v>
      </c>
      <c r="K120" s="38">
        <v>7.2599999999999998E-2</v>
      </c>
      <c r="L120" s="38">
        <v>7.0999999999999994E-2</v>
      </c>
      <c r="M120" s="38">
        <v>6.0999999999999999E-2</v>
      </c>
      <c r="N120" s="17">
        <v>2.4500000000000002</v>
      </c>
      <c r="O120" s="17">
        <v>3.8999999999999998E-3</v>
      </c>
      <c r="P120" s="17">
        <v>1.48</v>
      </c>
      <c r="Q120" s="17">
        <v>1.81</v>
      </c>
      <c r="R120" s="17">
        <v>0.95599999999999996</v>
      </c>
      <c r="S120" s="17">
        <v>0.94</v>
      </c>
      <c r="T120" s="17">
        <v>20081231</v>
      </c>
      <c r="U120" s="17">
        <v>20190731</v>
      </c>
      <c r="V120" s="17">
        <v>128</v>
      </c>
    </row>
    <row r="121" spans="1:22" hidden="1">
      <c r="A121" s="17" t="s">
        <v>1570</v>
      </c>
      <c r="B121" s="38">
        <v>8.5300000000000001E-2</v>
      </c>
      <c r="C121" s="38">
        <v>4.3099999999999999E-2</v>
      </c>
      <c r="D121" s="38">
        <v>7.6399999999999996E-2</v>
      </c>
      <c r="E121" s="38">
        <v>5.6899999999999999E-2</v>
      </c>
      <c r="F121" s="38">
        <v>6.2100000000000002E-2</v>
      </c>
      <c r="G121" s="38">
        <v>9.1499999999999998E-2</v>
      </c>
      <c r="H121" s="38">
        <v>5.4300000000000001E-2</v>
      </c>
      <c r="I121" s="38">
        <v>0.12620000000000001</v>
      </c>
      <c r="J121" s="38">
        <v>9.6600000000000005E-2</v>
      </c>
      <c r="K121" s="38">
        <v>6.9099999999999995E-2</v>
      </c>
      <c r="L121" s="38">
        <v>7.0400000000000004E-2</v>
      </c>
      <c r="M121" s="38">
        <v>7.5999999999999998E-2</v>
      </c>
      <c r="N121" s="17">
        <v>3.24</v>
      </c>
      <c r="O121" s="17">
        <v>4.4000000000000003E-3</v>
      </c>
      <c r="P121" s="17">
        <v>2.0099999999999998</v>
      </c>
      <c r="Q121" s="17">
        <v>2.09</v>
      </c>
      <c r="R121" s="17">
        <v>0.95</v>
      </c>
      <c r="S121" s="17">
        <v>0.3</v>
      </c>
      <c r="T121" s="17">
        <v>20081231</v>
      </c>
      <c r="U121" s="17">
        <v>20190731</v>
      </c>
      <c r="V121" s="17">
        <v>128</v>
      </c>
    </row>
    <row r="122" spans="1:22" hidden="1">
      <c r="A122" s="17" t="s">
        <v>1571</v>
      </c>
      <c r="B122" s="38">
        <v>3.3500000000000002E-2</v>
      </c>
      <c r="C122" s="38">
        <v>2.4500000000000001E-2</v>
      </c>
      <c r="D122" s="38">
        <v>2.2100000000000002E-2</v>
      </c>
      <c r="E122" s="38">
        <v>3.6200000000000003E-2</v>
      </c>
      <c r="F122" s="38">
        <v>3.6799999999999999E-2</v>
      </c>
      <c r="G122" s="38">
        <v>7.3999999999999996E-2</v>
      </c>
      <c r="H122" s="38">
        <v>2.1100000000000001E-2</v>
      </c>
      <c r="I122" s="38">
        <v>7.3599999999999999E-2</v>
      </c>
      <c r="J122" s="38">
        <v>6.7599999999999993E-2</v>
      </c>
      <c r="K122" s="38">
        <v>7.0900000000000005E-2</v>
      </c>
      <c r="L122" s="38">
        <v>5.6599999999999998E-2</v>
      </c>
      <c r="M122" s="38">
        <v>4.7E-2</v>
      </c>
      <c r="N122" s="17">
        <v>2.06</v>
      </c>
      <c r="O122" s="17">
        <v>2.7000000000000001E-3</v>
      </c>
      <c r="P122" s="17">
        <v>1.08</v>
      </c>
      <c r="Q122" s="17">
        <v>1.29</v>
      </c>
      <c r="R122" s="17">
        <v>0.94699999999999995</v>
      </c>
      <c r="S122" s="17">
        <v>0.97</v>
      </c>
      <c r="T122" s="17">
        <v>20081231</v>
      </c>
      <c r="U122" s="17">
        <v>20190731</v>
      </c>
      <c r="V122" s="17">
        <v>128</v>
      </c>
    </row>
    <row r="123" spans="1:22" hidden="1">
      <c r="A123" s="17" t="s">
        <v>1572</v>
      </c>
      <c r="B123" s="38">
        <v>7.0099999999999996E-2</v>
      </c>
      <c r="C123" s="38">
        <v>3.3000000000000002E-2</v>
      </c>
      <c r="D123" s="38">
        <v>7.6399999999999996E-2</v>
      </c>
      <c r="E123" s="38">
        <v>6.2899999999999998E-2</v>
      </c>
      <c r="F123" s="38">
        <v>6.0199999999999997E-2</v>
      </c>
      <c r="G123" s="38">
        <v>8.77E-2</v>
      </c>
      <c r="H123" s="38">
        <v>4.5400000000000003E-2</v>
      </c>
      <c r="I123" s="38">
        <v>0.12809999999999999</v>
      </c>
      <c r="J123" s="38">
        <v>0.1052</v>
      </c>
      <c r="K123" s="38">
        <v>7.6999999999999999E-2</v>
      </c>
      <c r="L123" s="38">
        <v>6.5000000000000002E-2</v>
      </c>
      <c r="M123" s="38">
        <v>7.3999999999999996E-2</v>
      </c>
      <c r="N123" s="17">
        <v>2.8</v>
      </c>
      <c r="O123" s="17">
        <v>4.4000000000000003E-3</v>
      </c>
      <c r="P123" s="17">
        <v>1.7</v>
      </c>
      <c r="Q123" s="17">
        <v>2.11</v>
      </c>
      <c r="R123" s="17">
        <v>0.94799999999999995</v>
      </c>
      <c r="S123" s="17">
        <v>0.78</v>
      </c>
      <c r="T123" s="17">
        <v>20081231</v>
      </c>
      <c r="U123" s="17">
        <v>20190731</v>
      </c>
      <c r="V123" s="17">
        <v>128</v>
      </c>
    </row>
    <row r="124" spans="1:22" hidden="1">
      <c r="A124" s="17" t="s">
        <v>1573</v>
      </c>
      <c r="B124" s="38">
        <v>5.6899999999999999E-2</v>
      </c>
      <c r="C124" s="38">
        <v>3.5099999999999999E-2</v>
      </c>
      <c r="D124" s="38">
        <v>7.0999999999999994E-2</v>
      </c>
      <c r="E124" s="38">
        <v>4.5400000000000003E-2</v>
      </c>
      <c r="F124" s="38">
        <v>6.2799999999999995E-2</v>
      </c>
      <c r="G124" s="38">
        <v>7.9299999999999995E-2</v>
      </c>
      <c r="H124" s="38">
        <v>5.8999999999999997E-2</v>
      </c>
      <c r="I124" s="38">
        <v>9.4500000000000001E-2</v>
      </c>
      <c r="J124" s="38">
        <v>0.104</v>
      </c>
      <c r="K124" s="38">
        <v>7.4700000000000003E-2</v>
      </c>
      <c r="L124" s="38">
        <v>6.9199999999999998E-2</v>
      </c>
      <c r="M124" s="38">
        <v>6.8000000000000005E-2</v>
      </c>
      <c r="N124" s="17">
        <v>2.72</v>
      </c>
      <c r="O124" s="17">
        <v>4.3E-3</v>
      </c>
      <c r="P124" s="17">
        <v>1.73</v>
      </c>
      <c r="Q124" s="17">
        <v>2.0499999999999998</v>
      </c>
      <c r="R124" s="17">
        <v>0.94599999999999995</v>
      </c>
      <c r="S124" s="17">
        <v>0.9</v>
      </c>
      <c r="T124" s="17">
        <v>20081231</v>
      </c>
      <c r="U124" s="17">
        <v>20190731</v>
      </c>
      <c r="V124" s="17">
        <v>128</v>
      </c>
    </row>
    <row r="125" spans="1:22" hidden="1">
      <c r="A125" s="17" t="s">
        <v>1574</v>
      </c>
      <c r="B125" s="38">
        <v>0.10630000000000001</v>
      </c>
      <c r="C125" s="38">
        <v>6.6000000000000003E-2</v>
      </c>
      <c r="D125" s="38">
        <v>0.1062</v>
      </c>
      <c r="E125" s="38">
        <v>9.6199999999999994E-2</v>
      </c>
      <c r="F125" s="38">
        <v>6.9599999999999995E-2</v>
      </c>
      <c r="G125" s="38">
        <v>0.1089</v>
      </c>
      <c r="H125" s="38">
        <v>8.6999999999999994E-2</v>
      </c>
      <c r="I125" s="38">
        <v>0.1467</v>
      </c>
      <c r="J125" s="38">
        <v>7.9899999999999999E-2</v>
      </c>
      <c r="K125" s="38">
        <v>7.9100000000000004E-2</v>
      </c>
      <c r="L125" s="38">
        <v>8.2699999999999996E-2</v>
      </c>
      <c r="M125" s="38">
        <v>9.4E-2</v>
      </c>
      <c r="N125" s="17">
        <v>3.65</v>
      </c>
      <c r="O125" s="17">
        <v>7.0000000000000001E-3</v>
      </c>
      <c r="P125" s="17">
        <v>2.42</v>
      </c>
      <c r="Q125" s="17">
        <v>3.22</v>
      </c>
      <c r="R125" s="17">
        <v>0.96299999999999997</v>
      </c>
      <c r="S125" s="17">
        <v>0.81</v>
      </c>
      <c r="T125" s="17">
        <v>20081231</v>
      </c>
      <c r="U125" s="17">
        <v>20190731</v>
      </c>
      <c r="V125" s="17">
        <v>128</v>
      </c>
    </row>
    <row r="126" spans="1:22" hidden="1">
      <c r="A126" s="17" t="s">
        <v>1575</v>
      </c>
      <c r="B126" s="38">
        <v>-1.54E-2</v>
      </c>
      <c r="C126" s="38">
        <v>1.9599999999999999E-2</v>
      </c>
      <c r="D126" s="38">
        <v>1.4800000000000001E-2</v>
      </c>
      <c r="E126" s="38">
        <v>2.5000000000000001E-2</v>
      </c>
      <c r="F126" s="38">
        <v>5.2200000000000003E-2</v>
      </c>
      <c r="G126" s="38">
        <v>-2.53E-2</v>
      </c>
      <c r="H126" s="38">
        <v>-3.9E-2</v>
      </c>
      <c r="I126" s="38">
        <v>-9.1999999999999998E-3</v>
      </c>
      <c r="J126" s="38">
        <v>5.5399999999999998E-2</v>
      </c>
      <c r="K126" s="38">
        <v>3.4700000000000002E-2</v>
      </c>
      <c r="L126" s="38">
        <v>3.56E-2</v>
      </c>
      <c r="M126" s="38">
        <v>1.2999999999999999E-2</v>
      </c>
      <c r="N126" s="17">
        <v>0.51</v>
      </c>
      <c r="O126" s="17">
        <v>1.5E-3</v>
      </c>
      <c r="P126" s="17">
        <v>0.77</v>
      </c>
      <c r="Q126" s="17">
        <v>0.99</v>
      </c>
      <c r="R126" s="17">
        <v>0.95599999999999996</v>
      </c>
      <c r="S126" s="17">
        <v>0.98</v>
      </c>
      <c r="T126" s="17">
        <v>20081231</v>
      </c>
      <c r="U126" s="17">
        <v>20190731</v>
      </c>
      <c r="V126" s="17">
        <v>128</v>
      </c>
    </row>
    <row r="127" spans="1:22" hidden="1">
      <c r="A127" s="17" t="s">
        <v>1576</v>
      </c>
      <c r="B127" s="38">
        <v>2.5999999999999999E-2</v>
      </c>
      <c r="C127" s="38">
        <v>3.9199999999999999E-2</v>
      </c>
      <c r="D127" s="38">
        <v>5.1499999999999997E-2</v>
      </c>
      <c r="E127" s="38">
        <v>4.87E-2</v>
      </c>
      <c r="F127" s="38">
        <v>6.7699999999999996E-2</v>
      </c>
      <c r="G127" s="38">
        <v>5.4000000000000003E-3</v>
      </c>
      <c r="H127" s="38">
        <v>-3.7000000000000002E-3</v>
      </c>
      <c r="I127" s="38">
        <v>4.9500000000000002E-2</v>
      </c>
      <c r="J127" s="38">
        <v>9.0800000000000006E-2</v>
      </c>
      <c r="K127" s="38">
        <v>5.3699999999999998E-2</v>
      </c>
      <c r="L127" s="38">
        <v>5.8700000000000002E-2</v>
      </c>
      <c r="M127" s="38">
        <v>4.3999999999999997E-2</v>
      </c>
      <c r="N127" s="17">
        <v>1.89</v>
      </c>
      <c r="O127" s="17">
        <v>2.8999999999999998E-3</v>
      </c>
      <c r="P127" s="17">
        <v>1.38</v>
      </c>
      <c r="Q127" s="17">
        <v>1.81</v>
      </c>
      <c r="R127" s="17">
        <v>0.95</v>
      </c>
      <c r="S127" s="17">
        <v>0.69</v>
      </c>
      <c r="T127" s="17">
        <v>20081231</v>
      </c>
      <c r="U127" s="17">
        <v>20190731</v>
      </c>
      <c r="V127" s="17">
        <v>128</v>
      </c>
    </row>
    <row r="128" spans="1:22" hidden="1">
      <c r="A128" s="17" t="s">
        <v>1577</v>
      </c>
      <c r="B128" s="38">
        <v>-2.47E-2</v>
      </c>
      <c r="C128" s="38">
        <v>1.15E-2</v>
      </c>
      <c r="D128" s="38">
        <v>1.61E-2</v>
      </c>
      <c r="E128" s="38">
        <v>9.7999999999999997E-3</v>
      </c>
      <c r="F128" s="38">
        <v>4.6800000000000001E-2</v>
      </c>
      <c r="G128" s="38">
        <v>-3.4500000000000003E-2</v>
      </c>
      <c r="H128" s="38">
        <v>-4.0500000000000001E-2</v>
      </c>
      <c r="I128" s="38">
        <v>-2.5999999999999999E-2</v>
      </c>
      <c r="J128" s="38">
        <v>5.6099999999999997E-2</v>
      </c>
      <c r="K128" s="38">
        <v>3.1399999999999997E-2</v>
      </c>
      <c r="L128" s="38">
        <v>2.7099999999999999E-2</v>
      </c>
      <c r="M128" s="38">
        <v>6.0000000000000001E-3</v>
      </c>
      <c r="N128" s="17">
        <v>0.23</v>
      </c>
      <c r="O128" s="17">
        <v>1.1000000000000001E-3</v>
      </c>
      <c r="P128" s="17">
        <v>0.54</v>
      </c>
      <c r="Q128" s="17">
        <v>0.73</v>
      </c>
      <c r="R128" s="17">
        <v>0.94699999999999995</v>
      </c>
      <c r="S128" s="17">
        <v>0.99</v>
      </c>
      <c r="T128" s="17">
        <v>20081231</v>
      </c>
      <c r="U128" s="17">
        <v>20190731</v>
      </c>
      <c r="V128" s="17">
        <v>128</v>
      </c>
    </row>
    <row r="129" spans="1:22" hidden="1">
      <c r="A129" s="17" t="s">
        <v>1578</v>
      </c>
      <c r="B129" s="38">
        <v>-6.9999999999999999E-4</v>
      </c>
      <c r="C129" s="38">
        <v>2.7300000000000001E-2</v>
      </c>
      <c r="D129" s="38">
        <v>3.3599999999999998E-2</v>
      </c>
      <c r="E129" s="38">
        <v>4.7100000000000003E-2</v>
      </c>
      <c r="F129" s="38">
        <v>0.06</v>
      </c>
      <c r="G129" s="38">
        <v>-6.8999999999999999E-3</v>
      </c>
      <c r="H129" s="38">
        <v>-1.9599999999999999E-2</v>
      </c>
      <c r="I129" s="38">
        <v>3.3700000000000001E-2</v>
      </c>
      <c r="J129" s="38">
        <v>7.7600000000000002E-2</v>
      </c>
      <c r="K129" s="38">
        <v>5.11E-2</v>
      </c>
      <c r="L129" s="38">
        <v>3.7999999999999999E-2</v>
      </c>
      <c r="M129" s="38">
        <v>3.1E-2</v>
      </c>
      <c r="N129" s="17">
        <v>1.27</v>
      </c>
      <c r="O129" s="17">
        <v>2.3E-3</v>
      </c>
      <c r="P129" s="17">
        <v>1.1000000000000001</v>
      </c>
      <c r="Q129" s="17">
        <v>1.47</v>
      </c>
      <c r="R129" s="17">
        <v>0.94799999999999995</v>
      </c>
      <c r="S129" s="17">
        <v>0.91</v>
      </c>
      <c r="T129" s="17">
        <v>20081231</v>
      </c>
      <c r="U129" s="17">
        <v>20190731</v>
      </c>
      <c r="V129" s="17">
        <v>128</v>
      </c>
    </row>
    <row r="130" spans="1:22" hidden="1">
      <c r="A130" s="17" t="s">
        <v>1579</v>
      </c>
      <c r="B130" s="38">
        <v>-1.0999999999999999E-2</v>
      </c>
      <c r="C130" s="38">
        <v>2.0400000000000001E-2</v>
      </c>
      <c r="D130" s="38">
        <v>1.6E-2</v>
      </c>
      <c r="E130" s="38">
        <v>3.4700000000000002E-2</v>
      </c>
      <c r="F130" s="38">
        <v>5.1299999999999998E-2</v>
      </c>
      <c r="G130" s="38">
        <v>-2.23E-2</v>
      </c>
      <c r="H130" s="38">
        <v>-3.1600000000000003E-2</v>
      </c>
      <c r="I130" s="38">
        <v>2.24E-2</v>
      </c>
      <c r="J130" s="38">
        <v>6.7500000000000004E-2</v>
      </c>
      <c r="K130" s="38">
        <v>4.2700000000000002E-2</v>
      </c>
      <c r="L130" s="38">
        <v>4.1099999999999998E-2</v>
      </c>
      <c r="M130" s="38">
        <v>0.02</v>
      </c>
      <c r="N130" s="17">
        <v>0.84</v>
      </c>
      <c r="O130" s="17">
        <v>1.9E-3</v>
      </c>
      <c r="P130" s="17">
        <v>0.96</v>
      </c>
      <c r="Q130" s="17">
        <v>1.25</v>
      </c>
      <c r="R130" s="17">
        <v>0.94599999999999995</v>
      </c>
      <c r="S130" s="17">
        <v>0.96</v>
      </c>
      <c r="T130" s="17">
        <v>20081231</v>
      </c>
      <c r="U130" s="17">
        <v>20190731</v>
      </c>
      <c r="V130" s="17">
        <v>128</v>
      </c>
    </row>
    <row r="131" spans="1:22"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</row>
    <row r="132" spans="1:22"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</row>
    <row r="133" spans="1:22"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</row>
  </sheetData>
  <autoFilter ref="A1:V130">
    <filterColumn colId="0">
      <filters>
        <filter val="mom1_con_pb_roll"/>
        <filter val="mom1_con_pe_roll"/>
        <filter val="mom1_con_ps_roll"/>
        <filter val="nrb2p"/>
        <filter val="nre2p"/>
        <filter val="rb2p"/>
        <filter val="rcon_eps_roll"/>
        <filter val="rcon_pb_roll"/>
        <filter val="rcon_pe_roll"/>
        <filter val="rcon_peg_roll"/>
        <filter val="rcon_ps_roll"/>
        <filter val="re2p"/>
        <filter val="rfy12p"/>
      </filters>
    </filterColumn>
    <sortState ref="A71:V97">
      <sortCondition descending="1" ref="M71"/>
    </sortState>
  </autoFilter>
  <sortState ref="A2:V126">
    <sortCondition descending="1" ref="M113"/>
  </sortState>
  <phoneticPr fontId="5" type="noConversion"/>
  <conditionalFormatting sqref="B2:M2">
    <cfRule type="colorScale" priority="1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:M2 M14:M1048576">
    <cfRule type="colorScale" priority="1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M3">
    <cfRule type="colorScale" priority="1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">
    <cfRule type="colorScale" priority="1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:M4">
    <cfRule type="colorScale" priority="1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4">
    <cfRule type="colorScale" priority="1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M5">
    <cfRule type="colorScale" priority="1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5">
    <cfRule type="colorScale" priority="1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:M7">
    <cfRule type="colorScale" priority="1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7">
    <cfRule type="colorScale" priority="1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:M6">
    <cfRule type="colorScale" priority="1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6">
    <cfRule type="colorScale" priority="1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:M9">
    <cfRule type="colorScale" priority="1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9">
    <cfRule type="colorScale" priority="1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:M10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0">
    <cfRule type="colorScale" priority="1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:M8">
    <cfRule type="colorScale" priority="1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8">
    <cfRule type="colorScale" priority="1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:M11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1">
    <cfRule type="colorScale" priority="1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:M12">
    <cfRule type="colorScale" priority="1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2">
    <cfRule type="colorScale" priority="1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:M13">
    <cfRule type="colorScale" priority="1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3">
    <cfRule type="colorScale" priority="1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4:L14">
    <cfRule type="colorScale" priority="1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5:L15">
    <cfRule type="colorScale" priority="1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6:L16">
    <cfRule type="colorScale" priority="1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7:L17"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9:L19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8:L18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1:L21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2:L22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0:L20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3:L23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4:L24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5:L25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6:L26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7:L27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8:L28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9:L29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1:L31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0:L30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3:L33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4:L34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2:L32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5:L35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6:L36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7:L37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8:L38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9:L39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0:L40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1:L41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3:L43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2:L42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5:L45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6:L46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4:L44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7:L47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8:L48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9:L49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0:L50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1:L51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2:L52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3:L53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5:L55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4:L54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7:L57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8:L58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6:L56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9:L59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0:L60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1:L61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2:L62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3:L63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4:L64">
    <cfRule type="colorScale" priority="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5:L65"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7:L67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6:L66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9:L69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0:L70"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8:L68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1:L71"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2:L72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3:L73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4:L74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5:L75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6:L76"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7:L77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9:L79"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8:L78"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1:L81"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2:L82"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0:L80"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3:L83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4:L84"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5:L85"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6:L8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7:L87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8:L88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9:L89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1:L91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0:L90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3:L93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4:L94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2:L92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5:L95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6:L96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7:L97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8:L98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9:L9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0:L100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1:L101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3:L103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2:L102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5:L105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6:L106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4:L104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7:L107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8:L108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9:L109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0:L110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1:L111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2:L11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3:L113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5:L115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4:L114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7:L117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8:L118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6:L116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9:L119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0:L120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1:L121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2:L122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3:L123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4:L124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5:L12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7:L127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6:L12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9:L129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0:L130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8:L128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1:L13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2:L13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3:L13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:M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133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L15" sqref="L15"/>
    </sheetView>
  </sheetViews>
  <sheetFormatPr defaultRowHeight="14.25"/>
  <cols>
    <col min="1" max="1" width="22.75" bestFit="1" customWidth="1"/>
    <col min="2" max="13" width="9" style="35"/>
    <col min="15" max="15" width="9" style="35"/>
  </cols>
  <sheetData>
    <row r="1" spans="1:22">
      <c r="A1" s="17" t="s">
        <v>730</v>
      </c>
      <c r="B1" s="38" t="s">
        <v>999</v>
      </c>
      <c r="C1" s="38" t="s">
        <v>1000</v>
      </c>
      <c r="D1" s="38" t="s">
        <v>1001</v>
      </c>
      <c r="E1" s="38" t="s">
        <v>1002</v>
      </c>
      <c r="F1" s="38" t="s">
        <v>1003</v>
      </c>
      <c r="G1" s="38" t="s">
        <v>1004</v>
      </c>
      <c r="H1" s="38" t="s">
        <v>1005</v>
      </c>
      <c r="I1" s="38" t="s">
        <v>1006</v>
      </c>
      <c r="J1" s="38" t="s">
        <v>1007</v>
      </c>
      <c r="K1" s="38" t="s">
        <v>1008</v>
      </c>
      <c r="L1" s="38" t="s">
        <v>1009</v>
      </c>
      <c r="M1" s="38" t="s">
        <v>969</v>
      </c>
      <c r="N1" s="17" t="s">
        <v>970</v>
      </c>
      <c r="O1" s="17" t="s">
        <v>971</v>
      </c>
      <c r="P1" s="17" t="s">
        <v>972</v>
      </c>
      <c r="Q1" s="17" t="s">
        <v>973</v>
      </c>
      <c r="R1" s="17" t="s">
        <v>974</v>
      </c>
      <c r="S1" s="17" t="s">
        <v>975</v>
      </c>
      <c r="T1" s="17" t="s">
        <v>1010</v>
      </c>
      <c r="U1" s="17" t="s">
        <v>1011</v>
      </c>
      <c r="V1" s="17" t="s">
        <v>1012</v>
      </c>
    </row>
    <row r="2" spans="1:22" hidden="1">
      <c r="A2" s="17" t="s">
        <v>1574</v>
      </c>
      <c r="B2" s="38">
        <v>0.1108</v>
      </c>
      <c r="C2" s="38">
        <v>5.4300000000000001E-2</v>
      </c>
      <c r="D2" s="38">
        <v>7.3099999999999998E-2</v>
      </c>
      <c r="E2" s="38">
        <v>6.4100000000000004E-2</v>
      </c>
      <c r="F2" s="38">
        <v>5.8000000000000003E-2</v>
      </c>
      <c r="G2" s="38">
        <v>0.1022</v>
      </c>
      <c r="H2" s="38">
        <v>0.1051</v>
      </c>
      <c r="I2" s="38">
        <v>0.1328</v>
      </c>
      <c r="J2" s="38">
        <v>4.0399999999999998E-2</v>
      </c>
      <c r="K2" s="38">
        <v>3.2899999999999999E-2</v>
      </c>
      <c r="L2" s="38">
        <v>2.8799999999999999E-2</v>
      </c>
      <c r="M2" s="38">
        <v>7.3999999999999996E-2</v>
      </c>
      <c r="N2" s="17">
        <v>3</v>
      </c>
      <c r="O2" s="17">
        <v>6.7000000000000002E-3</v>
      </c>
      <c r="P2" s="17">
        <v>2.17</v>
      </c>
      <c r="Q2" s="17">
        <v>1.73</v>
      </c>
      <c r="R2" s="17">
        <v>0.97199999999999998</v>
      </c>
      <c r="S2" s="17">
        <v>0.81</v>
      </c>
      <c r="T2" s="17">
        <v>20081231</v>
      </c>
      <c r="U2" s="17">
        <v>20190731</v>
      </c>
      <c r="V2" s="17">
        <v>128</v>
      </c>
    </row>
    <row r="3" spans="1:22">
      <c r="A3" s="17" t="s">
        <v>1501</v>
      </c>
      <c r="B3" s="38">
        <v>7.5399999999999995E-2</v>
      </c>
      <c r="C3" s="38">
        <v>5.0500000000000003E-2</v>
      </c>
      <c r="D3" s="38">
        <v>7.51E-2</v>
      </c>
      <c r="E3" s="38">
        <v>5.5899999999999998E-2</v>
      </c>
      <c r="F3" s="38">
        <v>5.9900000000000002E-2</v>
      </c>
      <c r="G3" s="38">
        <v>0.1166</v>
      </c>
      <c r="H3" s="38">
        <v>0.1115</v>
      </c>
      <c r="I3" s="38">
        <v>0.13159999999999999</v>
      </c>
      <c r="J3" s="38">
        <v>2.7400000000000001E-2</v>
      </c>
      <c r="K3" s="38">
        <v>3.04E-2</v>
      </c>
      <c r="L3" s="38">
        <v>1.9699999999999999E-2</v>
      </c>
      <c r="M3" s="38">
        <v>7.0000000000000007E-2</v>
      </c>
      <c r="N3" s="17">
        <v>2.79</v>
      </c>
      <c r="O3" s="17">
        <v>4.4999999999999997E-3</v>
      </c>
      <c r="P3" s="17">
        <v>1.68</v>
      </c>
      <c r="Q3" s="17">
        <v>1.22</v>
      </c>
      <c r="R3" s="17">
        <v>0.999</v>
      </c>
      <c r="S3" s="17">
        <v>0.38</v>
      </c>
      <c r="T3" s="17">
        <v>20081231</v>
      </c>
      <c r="U3" s="17">
        <v>20190731</v>
      </c>
      <c r="V3" s="17">
        <v>128</v>
      </c>
    </row>
    <row r="4" spans="1:22">
      <c r="A4" s="17" t="s">
        <v>1495</v>
      </c>
      <c r="B4" s="38">
        <v>8.7800000000000003E-2</v>
      </c>
      <c r="C4" s="38">
        <v>5.3800000000000001E-2</v>
      </c>
      <c r="D4" s="38">
        <v>7.7200000000000005E-2</v>
      </c>
      <c r="E4" s="38">
        <v>5.8500000000000003E-2</v>
      </c>
      <c r="F4" s="38">
        <v>6.54E-2</v>
      </c>
      <c r="G4" s="38">
        <v>0.1138</v>
      </c>
      <c r="H4" s="38">
        <v>0.1123</v>
      </c>
      <c r="I4" s="38">
        <v>0.12590000000000001</v>
      </c>
      <c r="J4" s="38">
        <v>3.2000000000000001E-2</v>
      </c>
      <c r="K4" s="38">
        <v>3.0200000000000001E-2</v>
      </c>
      <c r="L4" s="38">
        <v>1.8700000000000001E-2</v>
      </c>
      <c r="M4" s="38">
        <v>7.1999999999999995E-2</v>
      </c>
      <c r="N4" s="17">
        <v>2.93</v>
      </c>
      <c r="O4" s="17">
        <v>4.4000000000000003E-3</v>
      </c>
      <c r="P4" s="17">
        <v>1.71</v>
      </c>
      <c r="Q4" s="17">
        <v>1.24</v>
      </c>
      <c r="R4" s="17">
        <v>0.98</v>
      </c>
      <c r="S4" s="17">
        <v>0.39</v>
      </c>
      <c r="T4" s="17">
        <v>20081231</v>
      </c>
      <c r="U4" s="17">
        <v>20190731</v>
      </c>
      <c r="V4" s="17">
        <v>128</v>
      </c>
    </row>
    <row r="5" spans="1:22">
      <c r="A5" s="17" t="s">
        <v>1496</v>
      </c>
      <c r="B5" s="38">
        <v>5.5E-2</v>
      </c>
      <c r="C5" s="38">
        <v>2.0299999999999999E-2</v>
      </c>
      <c r="D5" s="38">
        <v>4.9299999999999997E-2</v>
      </c>
      <c r="E5" s="38">
        <v>3.49E-2</v>
      </c>
      <c r="F5" s="38">
        <v>4.5999999999999999E-2</v>
      </c>
      <c r="G5" s="38">
        <v>0.1074</v>
      </c>
      <c r="H5" s="38">
        <v>5.6099999999999997E-2</v>
      </c>
      <c r="I5" s="38">
        <v>0.1132</v>
      </c>
      <c r="J5" s="38">
        <v>3.6799999999999999E-2</v>
      </c>
      <c r="K5" s="38">
        <v>6.6900000000000001E-2</v>
      </c>
      <c r="L5" s="38">
        <v>1.0699999999999999E-2</v>
      </c>
      <c r="M5" s="38">
        <v>5.6000000000000001E-2</v>
      </c>
      <c r="N5" s="17">
        <v>2.0299999999999998</v>
      </c>
      <c r="O5" s="17">
        <v>3.7000000000000002E-3</v>
      </c>
      <c r="P5" s="17">
        <v>1.18</v>
      </c>
      <c r="Q5" s="17">
        <v>0.99</v>
      </c>
      <c r="R5" s="17">
        <v>0.999</v>
      </c>
      <c r="S5" s="17">
        <v>0.97</v>
      </c>
      <c r="T5" s="17">
        <v>20081231</v>
      </c>
      <c r="U5" s="17">
        <v>20190731</v>
      </c>
      <c r="V5" s="17">
        <v>128</v>
      </c>
    </row>
    <row r="6" spans="1:22">
      <c r="A6" s="17" t="s">
        <v>1497</v>
      </c>
      <c r="B6" s="38">
        <v>8.8599999999999998E-2</v>
      </c>
      <c r="C6" s="38">
        <v>5.5E-2</v>
      </c>
      <c r="D6" s="38">
        <v>7.9600000000000004E-2</v>
      </c>
      <c r="E6" s="38">
        <v>5.8400000000000001E-2</v>
      </c>
      <c r="F6" s="38">
        <v>6.7100000000000007E-2</v>
      </c>
      <c r="G6" s="38">
        <v>0.1132</v>
      </c>
      <c r="H6" s="38">
        <v>0.10929999999999999</v>
      </c>
      <c r="I6" s="38">
        <v>0.12609999999999999</v>
      </c>
      <c r="J6" s="38">
        <v>3.0200000000000001E-2</v>
      </c>
      <c r="K6" s="38">
        <v>2.9100000000000001E-2</v>
      </c>
      <c r="L6" s="38">
        <v>1.9199999999999998E-2</v>
      </c>
      <c r="M6" s="38">
        <v>7.1999999999999995E-2</v>
      </c>
      <c r="N6" s="17">
        <v>2.91</v>
      </c>
      <c r="O6" s="17">
        <v>4.4000000000000003E-3</v>
      </c>
      <c r="P6" s="17">
        <v>1.7</v>
      </c>
      <c r="Q6" s="17">
        <v>1.24</v>
      </c>
      <c r="R6" s="17">
        <v>0.97899999999999998</v>
      </c>
      <c r="S6" s="17">
        <v>0.39</v>
      </c>
      <c r="T6" s="17">
        <v>20081231</v>
      </c>
      <c r="U6" s="17">
        <v>20190731</v>
      </c>
      <c r="V6" s="17">
        <v>128</v>
      </c>
    </row>
    <row r="7" spans="1:22">
      <c r="A7" s="17" t="s">
        <v>1498</v>
      </c>
      <c r="B7" s="38">
        <v>3.6999999999999998E-2</v>
      </c>
      <c r="C7" s="38">
        <v>4.0000000000000001E-3</v>
      </c>
      <c r="D7" s="38">
        <v>4.53E-2</v>
      </c>
      <c r="E7" s="38">
        <v>3.1E-2</v>
      </c>
      <c r="F7" s="38">
        <v>3.78E-2</v>
      </c>
      <c r="G7" s="38">
        <v>0.1014</v>
      </c>
      <c r="H7" s="38">
        <v>2.5899999999999999E-2</v>
      </c>
      <c r="I7" s="38">
        <v>0.10100000000000001</v>
      </c>
      <c r="J7" s="38">
        <v>6.2E-2</v>
      </c>
      <c r="K7" s="38">
        <v>5.45E-2</v>
      </c>
      <c r="L7" s="38">
        <v>1.84E-2</v>
      </c>
      <c r="M7" s="38">
        <v>4.8000000000000001E-2</v>
      </c>
      <c r="N7" s="17">
        <v>1.93</v>
      </c>
      <c r="O7" s="17">
        <v>3.0999999999999999E-3</v>
      </c>
      <c r="P7" s="17">
        <v>1.01</v>
      </c>
      <c r="Q7" s="17">
        <v>0.82</v>
      </c>
      <c r="R7" s="17">
        <v>0.999</v>
      </c>
      <c r="S7" s="17">
        <v>0.99</v>
      </c>
      <c r="T7" s="17">
        <v>20081231</v>
      </c>
      <c r="U7" s="17">
        <v>20190731</v>
      </c>
      <c r="V7" s="17">
        <v>128</v>
      </c>
    </row>
    <row r="8" spans="1:22">
      <c r="A8" s="17" t="s">
        <v>1499</v>
      </c>
      <c r="B8" s="38">
        <v>5.5199999999999999E-2</v>
      </c>
      <c r="C8" s="38">
        <v>3.0200000000000001E-2</v>
      </c>
      <c r="D8" s="38">
        <v>7.5200000000000003E-2</v>
      </c>
      <c r="E8" s="38">
        <v>5.79E-2</v>
      </c>
      <c r="F8" s="38">
        <v>5.2999999999999999E-2</v>
      </c>
      <c r="G8" s="38">
        <v>0.1104</v>
      </c>
      <c r="H8" s="38">
        <v>0.1042</v>
      </c>
      <c r="I8" s="38">
        <v>0.151</v>
      </c>
      <c r="J8" s="38">
        <v>2.6200000000000001E-2</v>
      </c>
      <c r="K8" s="38">
        <v>5.0500000000000003E-2</v>
      </c>
      <c r="L8" s="38">
        <v>1.9099999999999999E-2</v>
      </c>
      <c r="M8" s="38">
        <v>6.8000000000000005E-2</v>
      </c>
      <c r="N8" s="17">
        <v>2.37</v>
      </c>
      <c r="O8" s="17">
        <v>4.1999999999999997E-3</v>
      </c>
      <c r="P8" s="17">
        <v>1.42</v>
      </c>
      <c r="Q8" s="17">
        <v>1.17</v>
      </c>
      <c r="R8" s="17">
        <v>0.99199999999999999</v>
      </c>
      <c r="S8" s="17">
        <v>0.82</v>
      </c>
      <c r="T8" s="17">
        <v>20081231</v>
      </c>
      <c r="U8" s="17">
        <v>20190731</v>
      </c>
      <c r="V8" s="17">
        <v>128</v>
      </c>
    </row>
    <row r="9" spans="1:22">
      <c r="A9" s="17" t="s">
        <v>1500</v>
      </c>
      <c r="B9" s="38">
        <v>4.87E-2</v>
      </c>
      <c r="C9" s="38">
        <v>2.9100000000000001E-2</v>
      </c>
      <c r="D9" s="38">
        <v>5.8000000000000003E-2</v>
      </c>
      <c r="E9" s="38">
        <v>4.4400000000000002E-2</v>
      </c>
      <c r="F9" s="38">
        <v>5.1299999999999998E-2</v>
      </c>
      <c r="G9" s="38">
        <v>0.1101</v>
      </c>
      <c r="H9" s="38">
        <v>6.6000000000000003E-2</v>
      </c>
      <c r="I9" s="38">
        <v>0.13830000000000001</v>
      </c>
      <c r="J9" s="38">
        <v>2.6700000000000002E-2</v>
      </c>
      <c r="K9" s="38">
        <v>5.8999999999999997E-2</v>
      </c>
      <c r="L9" s="38">
        <v>1.0800000000000001E-2</v>
      </c>
      <c r="M9" s="38">
        <v>0.06</v>
      </c>
      <c r="N9" s="17">
        <v>2.08</v>
      </c>
      <c r="O9" s="17">
        <v>3.8E-3</v>
      </c>
      <c r="P9" s="17">
        <v>1.2</v>
      </c>
      <c r="Q9" s="17">
        <v>1.08</v>
      </c>
      <c r="R9" s="17">
        <v>0.998</v>
      </c>
      <c r="S9" s="17">
        <v>0.92</v>
      </c>
      <c r="T9" s="17">
        <v>20081231</v>
      </c>
      <c r="U9" s="17">
        <v>20190731</v>
      </c>
      <c r="V9" s="17">
        <v>128</v>
      </c>
    </row>
    <row r="10" spans="1:22">
      <c r="A10" s="17" t="s">
        <v>1502</v>
      </c>
      <c r="B10" s="38">
        <v>8.9200000000000002E-2</v>
      </c>
      <c r="C10" s="38">
        <v>4.8800000000000003E-2</v>
      </c>
      <c r="D10" s="38">
        <v>5.8999999999999997E-2</v>
      </c>
      <c r="E10" s="38">
        <v>5.2299999999999999E-2</v>
      </c>
      <c r="F10" s="38">
        <v>6.5600000000000006E-2</v>
      </c>
      <c r="G10" s="38">
        <v>9.1499999999999998E-2</v>
      </c>
      <c r="H10" s="38">
        <v>9.2499999999999999E-2</v>
      </c>
      <c r="I10" s="38">
        <v>9.01E-2</v>
      </c>
      <c r="J10" s="38">
        <v>3.4299999999999997E-2</v>
      </c>
      <c r="K10" s="38">
        <v>2.4899999999999999E-2</v>
      </c>
      <c r="L10" s="38">
        <v>2.58E-2</v>
      </c>
      <c r="M10" s="38">
        <v>6.2E-2</v>
      </c>
      <c r="N10" s="17">
        <v>3.27</v>
      </c>
      <c r="O10" s="17">
        <v>3.3999999999999998E-3</v>
      </c>
      <c r="P10" s="17">
        <v>1.96</v>
      </c>
      <c r="Q10" s="17">
        <v>1</v>
      </c>
      <c r="R10" s="17">
        <v>0.98</v>
      </c>
      <c r="S10" s="17">
        <v>0.23</v>
      </c>
      <c r="T10" s="17">
        <v>20081231</v>
      </c>
      <c r="U10" s="17">
        <v>20190731</v>
      </c>
      <c r="V10" s="17">
        <v>128</v>
      </c>
    </row>
    <row r="11" spans="1:22" hidden="1">
      <c r="A11" s="17" t="s">
        <v>1554</v>
      </c>
      <c r="B11" s="38">
        <v>9.3600000000000003E-2</v>
      </c>
      <c r="C11" s="38">
        <v>4.3799999999999999E-2</v>
      </c>
      <c r="D11" s="38">
        <v>6.1800000000000001E-2</v>
      </c>
      <c r="E11" s="38">
        <v>4.2999999999999997E-2</v>
      </c>
      <c r="F11" s="38">
        <v>5.5199999999999999E-2</v>
      </c>
      <c r="G11" s="38">
        <v>8.8099999999999998E-2</v>
      </c>
      <c r="H11" s="38">
        <v>9.7799999999999998E-2</v>
      </c>
      <c r="I11" s="38">
        <v>0.1132</v>
      </c>
      <c r="J11" s="38">
        <v>2.5700000000000001E-2</v>
      </c>
      <c r="K11" s="38">
        <v>2.5600000000000001E-2</v>
      </c>
      <c r="L11" s="38">
        <v>3.32E-2</v>
      </c>
      <c r="M11" s="38">
        <v>6.3E-2</v>
      </c>
      <c r="N11" s="17">
        <v>2.99</v>
      </c>
      <c r="O11" s="17">
        <v>6.0000000000000001E-3</v>
      </c>
      <c r="P11" s="17">
        <v>2.29</v>
      </c>
      <c r="Q11" s="17">
        <v>1.49</v>
      </c>
      <c r="R11" s="17">
        <v>0.96299999999999997</v>
      </c>
      <c r="S11" s="17">
        <v>0.75</v>
      </c>
      <c r="T11" s="17">
        <v>20081231</v>
      </c>
      <c r="U11" s="17">
        <v>20190731</v>
      </c>
      <c r="V11" s="17">
        <v>128</v>
      </c>
    </row>
    <row r="12" spans="1:22" hidden="1">
      <c r="A12" s="17" t="s">
        <v>1559</v>
      </c>
      <c r="B12" s="38">
        <v>9.35E-2</v>
      </c>
      <c r="C12" s="38">
        <v>4.3799999999999999E-2</v>
      </c>
      <c r="D12" s="38">
        <v>6.1600000000000002E-2</v>
      </c>
      <c r="E12" s="38">
        <v>4.2999999999999997E-2</v>
      </c>
      <c r="F12" s="38">
        <v>5.5E-2</v>
      </c>
      <c r="G12" s="38">
        <v>8.7900000000000006E-2</v>
      </c>
      <c r="H12" s="38">
        <v>9.7299999999999998E-2</v>
      </c>
      <c r="I12" s="38">
        <v>0.11310000000000001</v>
      </c>
      <c r="J12" s="38">
        <v>2.5600000000000001E-2</v>
      </c>
      <c r="K12" s="38">
        <v>2.5600000000000001E-2</v>
      </c>
      <c r="L12" s="38">
        <v>3.32E-2</v>
      </c>
      <c r="M12" s="38">
        <v>6.3E-2</v>
      </c>
      <c r="N12" s="17">
        <v>2.99</v>
      </c>
      <c r="O12" s="17">
        <v>6.0000000000000001E-3</v>
      </c>
      <c r="P12" s="17">
        <v>2.29</v>
      </c>
      <c r="Q12" s="17">
        <v>1.49</v>
      </c>
      <c r="R12" s="17">
        <v>0.96299999999999997</v>
      </c>
      <c r="S12" s="17">
        <v>0.75</v>
      </c>
      <c r="T12" s="17">
        <v>20081231</v>
      </c>
      <c r="U12" s="17">
        <v>20190731</v>
      </c>
      <c r="V12" s="17">
        <v>128</v>
      </c>
    </row>
    <row r="13" spans="1:22" hidden="1">
      <c r="A13" s="17" t="s">
        <v>1563</v>
      </c>
      <c r="B13" s="38">
        <v>9.06E-2</v>
      </c>
      <c r="C13" s="38">
        <v>3.9199999999999999E-2</v>
      </c>
      <c r="D13" s="38">
        <v>6.3399999999999998E-2</v>
      </c>
      <c r="E13" s="38">
        <v>4.4200000000000003E-2</v>
      </c>
      <c r="F13" s="38">
        <v>5.2499999999999998E-2</v>
      </c>
      <c r="G13" s="38">
        <v>8.7400000000000005E-2</v>
      </c>
      <c r="H13" s="38">
        <v>9.0399999999999994E-2</v>
      </c>
      <c r="I13" s="38">
        <v>0.1171</v>
      </c>
      <c r="J13" s="38">
        <v>2.52E-2</v>
      </c>
      <c r="K13" s="38">
        <v>3.9E-2</v>
      </c>
      <c r="L13" s="38">
        <v>3.5400000000000001E-2</v>
      </c>
      <c r="M13" s="38">
        <v>6.3E-2</v>
      </c>
      <c r="N13" s="17">
        <v>2.95</v>
      </c>
      <c r="O13" s="17">
        <v>6.0000000000000001E-3</v>
      </c>
      <c r="P13" s="17">
        <v>2.29</v>
      </c>
      <c r="Q13" s="17">
        <v>1.49</v>
      </c>
      <c r="R13" s="17">
        <v>0.97199999999999998</v>
      </c>
      <c r="S13" s="17">
        <v>0.85</v>
      </c>
      <c r="T13" s="17">
        <v>20081231</v>
      </c>
      <c r="U13" s="17">
        <v>20190731</v>
      </c>
      <c r="V13" s="17">
        <v>128</v>
      </c>
    </row>
    <row r="14" spans="1:22">
      <c r="A14" s="17" t="s">
        <v>1503</v>
      </c>
      <c r="B14" s="38">
        <v>4.7800000000000002E-2</v>
      </c>
      <c r="C14" s="38">
        <v>2.0199999999999999E-2</v>
      </c>
      <c r="D14" s="38">
        <v>3.9199999999999999E-2</v>
      </c>
      <c r="E14" s="38">
        <v>2.98E-2</v>
      </c>
      <c r="F14" s="38">
        <v>3.2599999999999997E-2</v>
      </c>
      <c r="G14" s="38">
        <v>9.0800000000000006E-2</v>
      </c>
      <c r="H14" s="38">
        <v>4.6100000000000002E-2</v>
      </c>
      <c r="I14" s="38">
        <v>7.1999999999999995E-2</v>
      </c>
      <c r="J14" s="38">
        <v>2.5499999999999998E-2</v>
      </c>
      <c r="K14" s="38">
        <v>5.6899999999999999E-2</v>
      </c>
      <c r="L14" s="38">
        <v>3.7499999999999999E-2</v>
      </c>
      <c r="M14" s="38">
        <v>4.5999999999999999E-2</v>
      </c>
      <c r="N14" s="17">
        <v>1.91</v>
      </c>
      <c r="O14" s="17">
        <v>2.5000000000000001E-3</v>
      </c>
      <c r="P14" s="17">
        <v>0.99</v>
      </c>
      <c r="Q14" s="17">
        <v>0.73</v>
      </c>
      <c r="R14" s="17">
        <v>0.999</v>
      </c>
      <c r="S14" s="17">
        <v>0.95</v>
      </c>
      <c r="T14" s="17">
        <v>20081231</v>
      </c>
      <c r="U14" s="17">
        <v>20190731</v>
      </c>
      <c r="V14" s="17">
        <v>128</v>
      </c>
    </row>
    <row r="15" spans="1:22">
      <c r="A15" s="17" t="s">
        <v>1504</v>
      </c>
      <c r="B15" s="38">
        <v>9.0200000000000002E-2</v>
      </c>
      <c r="C15" s="38">
        <v>5.2200000000000003E-2</v>
      </c>
      <c r="D15" s="38">
        <v>6.2899999999999998E-2</v>
      </c>
      <c r="E15" s="38">
        <v>5.1999999999999998E-2</v>
      </c>
      <c r="F15" s="38">
        <v>6.9500000000000006E-2</v>
      </c>
      <c r="G15" s="38">
        <v>8.9399999999999993E-2</v>
      </c>
      <c r="H15" s="38">
        <v>8.8900000000000007E-2</v>
      </c>
      <c r="I15" s="38">
        <v>8.8099999999999998E-2</v>
      </c>
      <c r="J15" s="38">
        <v>3.1399999999999997E-2</v>
      </c>
      <c r="K15" s="38">
        <v>2.4400000000000002E-2</v>
      </c>
      <c r="L15" s="38">
        <v>2.75E-2</v>
      </c>
      <c r="M15" s="38">
        <v>6.3E-2</v>
      </c>
      <c r="N15" s="17">
        <v>3.23</v>
      </c>
      <c r="O15" s="17">
        <v>3.3999999999999998E-3</v>
      </c>
      <c r="P15" s="17">
        <v>1.95</v>
      </c>
      <c r="Q15" s="17">
        <v>1</v>
      </c>
      <c r="R15" s="17">
        <v>0.98</v>
      </c>
      <c r="S15" s="17">
        <v>0.23</v>
      </c>
      <c r="T15" s="17">
        <v>20081231</v>
      </c>
      <c r="U15" s="17">
        <v>20190731</v>
      </c>
      <c r="V15" s="17">
        <v>128</v>
      </c>
    </row>
    <row r="16" spans="1:22">
      <c r="A16" s="17" t="s">
        <v>1505</v>
      </c>
      <c r="B16" s="38">
        <v>2.52E-2</v>
      </c>
      <c r="C16" s="38">
        <v>-1.2999999999999999E-3</v>
      </c>
      <c r="D16" s="38">
        <v>3.3000000000000002E-2</v>
      </c>
      <c r="E16" s="38">
        <v>2.8000000000000001E-2</v>
      </c>
      <c r="F16" s="38">
        <v>2.6700000000000002E-2</v>
      </c>
      <c r="G16" s="38">
        <v>8.4199999999999997E-2</v>
      </c>
      <c r="H16" s="38">
        <v>1.9400000000000001E-2</v>
      </c>
      <c r="I16" s="38">
        <v>6.3200000000000006E-2</v>
      </c>
      <c r="J16" s="38">
        <v>2.3699999999999999E-2</v>
      </c>
      <c r="K16" s="38">
        <v>4.7800000000000002E-2</v>
      </c>
      <c r="L16" s="38">
        <v>4.9700000000000001E-2</v>
      </c>
      <c r="M16" s="38">
        <v>3.5999999999999997E-2</v>
      </c>
      <c r="N16" s="17">
        <v>1.62</v>
      </c>
      <c r="O16" s="17">
        <v>1.8E-3</v>
      </c>
      <c r="P16" s="17">
        <v>0.7</v>
      </c>
      <c r="Q16" s="17">
        <v>0.54</v>
      </c>
      <c r="R16" s="17">
        <v>0.999</v>
      </c>
      <c r="S16" s="17">
        <v>0.98</v>
      </c>
      <c r="T16" s="17">
        <v>20081231</v>
      </c>
      <c r="U16" s="17">
        <v>20190731</v>
      </c>
      <c r="V16" s="17">
        <v>128</v>
      </c>
    </row>
    <row r="17" spans="1:22">
      <c r="A17" s="17" t="s">
        <v>1506</v>
      </c>
      <c r="B17" s="38">
        <v>5.5E-2</v>
      </c>
      <c r="C17" s="38">
        <v>3.6200000000000003E-2</v>
      </c>
      <c r="D17" s="38">
        <v>6.2700000000000006E-2</v>
      </c>
      <c r="E17" s="38">
        <v>5.9799999999999999E-2</v>
      </c>
      <c r="F17" s="38">
        <v>4.3499999999999997E-2</v>
      </c>
      <c r="G17" s="38">
        <v>9.7000000000000003E-2</v>
      </c>
      <c r="H17" s="38">
        <v>9.9000000000000005E-2</v>
      </c>
      <c r="I17" s="38">
        <v>0.1056</v>
      </c>
      <c r="J17" s="38">
        <v>3.2300000000000002E-2</v>
      </c>
      <c r="K17" s="38">
        <v>3.5099999999999999E-2</v>
      </c>
      <c r="L17" s="38">
        <v>3.73E-2</v>
      </c>
      <c r="M17" s="38">
        <v>6.0999999999999999E-2</v>
      </c>
      <c r="N17" s="17">
        <v>2.8</v>
      </c>
      <c r="O17" s="17">
        <v>3.5000000000000001E-3</v>
      </c>
      <c r="P17" s="17">
        <v>1.7</v>
      </c>
      <c r="Q17" s="17">
        <v>0.96</v>
      </c>
      <c r="R17" s="17">
        <v>0.99199999999999999</v>
      </c>
      <c r="S17" s="17">
        <v>0.74</v>
      </c>
      <c r="T17" s="17">
        <v>20081231</v>
      </c>
      <c r="U17" s="17">
        <v>20190731</v>
      </c>
      <c r="V17" s="17">
        <v>128</v>
      </c>
    </row>
    <row r="18" spans="1:22" hidden="1">
      <c r="A18" s="17" t="s">
        <v>683</v>
      </c>
      <c r="B18" s="38">
        <v>3.1800000000000002E-2</v>
      </c>
      <c r="C18" s="38">
        <v>3.8899999999999997E-2</v>
      </c>
      <c r="D18" s="38">
        <v>8.8800000000000004E-2</v>
      </c>
      <c r="E18" s="38">
        <v>8.5900000000000004E-2</v>
      </c>
      <c r="F18" s="38">
        <v>3.4700000000000002E-2</v>
      </c>
      <c r="G18" s="38">
        <v>4.07E-2</v>
      </c>
      <c r="H18" s="38">
        <v>0.1113</v>
      </c>
      <c r="I18" s="38">
        <v>5.45E-2</v>
      </c>
      <c r="J18" s="38">
        <v>2.9499999999999998E-2</v>
      </c>
      <c r="K18" s="38">
        <v>5.5300000000000002E-2</v>
      </c>
      <c r="L18" s="38">
        <v>6.54E-2</v>
      </c>
      <c r="M18" s="38">
        <v>5.8000000000000003E-2</v>
      </c>
      <c r="N18" s="17">
        <v>2.98</v>
      </c>
      <c r="O18" s="17">
        <v>4.3E-3</v>
      </c>
      <c r="P18" s="17">
        <v>1.99</v>
      </c>
      <c r="Q18" s="17">
        <v>1.22</v>
      </c>
      <c r="R18" s="17">
        <v>0.97899999999999998</v>
      </c>
      <c r="S18" s="17">
        <v>0.79</v>
      </c>
      <c r="T18" s="17">
        <v>20081231</v>
      </c>
      <c r="U18" s="17">
        <v>20190731</v>
      </c>
      <c r="V18" s="17">
        <v>128</v>
      </c>
    </row>
    <row r="19" spans="1:22">
      <c r="A19" s="17" t="s">
        <v>1507</v>
      </c>
      <c r="B19" s="38">
        <v>5.2900000000000003E-2</v>
      </c>
      <c r="C19" s="38">
        <v>3.6299999999999999E-2</v>
      </c>
      <c r="D19" s="38">
        <v>4.3299999999999998E-2</v>
      </c>
      <c r="E19" s="38">
        <v>0.05</v>
      </c>
      <c r="F19" s="38">
        <v>3.5200000000000002E-2</v>
      </c>
      <c r="G19" s="38">
        <v>9.3399999999999997E-2</v>
      </c>
      <c r="H19" s="38">
        <v>5.79E-2</v>
      </c>
      <c r="I19" s="38">
        <v>9.6600000000000005E-2</v>
      </c>
      <c r="J19" s="38">
        <v>2.64E-2</v>
      </c>
      <c r="K19" s="38">
        <v>4.5699999999999998E-2</v>
      </c>
      <c r="L19" s="38">
        <v>3.1600000000000003E-2</v>
      </c>
      <c r="M19" s="38">
        <v>5.1999999999999998E-2</v>
      </c>
      <c r="N19" s="17">
        <v>2.2599999999999998</v>
      </c>
      <c r="O19" s="17">
        <v>2.8E-3</v>
      </c>
      <c r="P19" s="17">
        <v>1.1399999999999999</v>
      </c>
      <c r="Q19" s="17">
        <v>0.81</v>
      </c>
      <c r="R19" s="17">
        <v>0.998</v>
      </c>
      <c r="S19" s="17">
        <v>0.89</v>
      </c>
      <c r="T19" s="17">
        <v>20081231</v>
      </c>
      <c r="U19" s="17">
        <v>20190731</v>
      </c>
      <c r="V19" s="17">
        <v>128</v>
      </c>
    </row>
    <row r="20" spans="1:22" hidden="1">
      <c r="A20" s="17" t="s">
        <v>1508</v>
      </c>
      <c r="B20" s="38">
        <v>6.9400000000000003E-2</v>
      </c>
      <c r="C20" s="38">
        <v>2.8000000000000001E-2</v>
      </c>
      <c r="D20" s="38">
        <v>6.25E-2</v>
      </c>
      <c r="E20" s="38">
        <v>3.8399999999999997E-2</v>
      </c>
      <c r="F20" s="38">
        <v>3.9699999999999999E-2</v>
      </c>
      <c r="G20" s="38">
        <v>6.2E-2</v>
      </c>
      <c r="H20" s="38">
        <v>8.9899999999999994E-2</v>
      </c>
      <c r="I20" s="38">
        <v>0.1157</v>
      </c>
      <c r="J20" s="38">
        <v>2.2800000000000001E-2</v>
      </c>
      <c r="K20" s="38">
        <v>7.1900000000000006E-2</v>
      </c>
      <c r="L20" s="38">
        <v>1.6E-2</v>
      </c>
      <c r="M20" s="38">
        <v>5.7000000000000002E-2</v>
      </c>
      <c r="N20" s="17">
        <v>2.44</v>
      </c>
      <c r="O20" s="17">
        <v>3.5000000000000001E-3</v>
      </c>
      <c r="P20" s="17">
        <v>1.51</v>
      </c>
      <c r="Q20" s="17">
        <v>1.1200000000000001</v>
      </c>
      <c r="R20" s="17">
        <v>0.999</v>
      </c>
      <c r="S20" s="17">
        <v>0.92</v>
      </c>
      <c r="T20" s="17">
        <v>20081231</v>
      </c>
      <c r="U20" s="17">
        <v>20190731</v>
      </c>
      <c r="V20" s="17">
        <v>128</v>
      </c>
    </row>
    <row r="21" spans="1:22">
      <c r="A21" s="17" t="s">
        <v>1517</v>
      </c>
      <c r="B21" s="38">
        <v>6.2E-2</v>
      </c>
      <c r="C21" s="38">
        <v>3.7600000000000001E-2</v>
      </c>
      <c r="D21" s="38">
        <v>5.3400000000000003E-2</v>
      </c>
      <c r="E21" s="38">
        <v>5.4199999999999998E-2</v>
      </c>
      <c r="F21" s="38">
        <v>4.5999999999999999E-2</v>
      </c>
      <c r="G21" s="38">
        <v>9.4100000000000003E-2</v>
      </c>
      <c r="H21" s="38">
        <v>8.5599999999999996E-2</v>
      </c>
      <c r="I21" s="38">
        <v>9.3100000000000002E-2</v>
      </c>
      <c r="J21" s="38">
        <v>0.03</v>
      </c>
      <c r="K21" s="38">
        <v>6.4000000000000003E-3</v>
      </c>
      <c r="L21" s="38">
        <v>1.04E-2</v>
      </c>
      <c r="M21" s="38">
        <v>5.2999999999999999E-2</v>
      </c>
      <c r="N21" s="17">
        <v>2.29</v>
      </c>
      <c r="O21" s="17">
        <v>2.8999999999999998E-3</v>
      </c>
      <c r="P21" s="17">
        <v>1.2</v>
      </c>
      <c r="Q21" s="17">
        <v>0.89</v>
      </c>
      <c r="R21" s="17">
        <v>0.96299999999999997</v>
      </c>
      <c r="S21" s="17">
        <v>0.22</v>
      </c>
      <c r="T21" s="17">
        <v>20081231</v>
      </c>
      <c r="U21" s="17">
        <v>20190731</v>
      </c>
      <c r="V21" s="17">
        <v>128</v>
      </c>
    </row>
    <row r="22" spans="1:22">
      <c r="A22" s="17" t="s">
        <v>1518</v>
      </c>
      <c r="B22" s="38">
        <v>4.7600000000000003E-2</v>
      </c>
      <c r="C22" s="38">
        <v>2.5499999999999998E-2</v>
      </c>
      <c r="D22" s="38">
        <v>6.9699999999999998E-2</v>
      </c>
      <c r="E22" s="38">
        <v>6.3500000000000001E-2</v>
      </c>
      <c r="F22" s="38">
        <v>4.48E-2</v>
      </c>
      <c r="G22" s="38">
        <v>0.1033</v>
      </c>
      <c r="H22" s="38">
        <v>0.12189999999999999</v>
      </c>
      <c r="I22" s="38">
        <v>0.14330000000000001</v>
      </c>
      <c r="J22" s="38">
        <v>2.6599999999999999E-2</v>
      </c>
      <c r="K22" s="38">
        <v>2.7E-2</v>
      </c>
      <c r="L22" s="38">
        <v>1.9900000000000001E-2</v>
      </c>
      <c r="M22" s="38">
        <v>6.4000000000000001E-2</v>
      </c>
      <c r="N22" s="17">
        <v>2.46</v>
      </c>
      <c r="O22" s="17">
        <v>3.7000000000000002E-3</v>
      </c>
      <c r="P22" s="17">
        <v>1.53</v>
      </c>
      <c r="Q22" s="17">
        <v>1.1200000000000001</v>
      </c>
      <c r="R22" s="17">
        <v>0.96299999999999997</v>
      </c>
      <c r="S22" s="17">
        <v>0.75</v>
      </c>
      <c r="T22" s="17">
        <v>20081231</v>
      </c>
      <c r="U22" s="17">
        <v>20190731</v>
      </c>
      <c r="V22" s="17">
        <v>128</v>
      </c>
    </row>
    <row r="23" spans="1:22" hidden="1">
      <c r="A23" s="17" t="s">
        <v>1546</v>
      </c>
      <c r="B23" s="38">
        <v>0.11360000000000001</v>
      </c>
      <c r="C23" s="38">
        <v>4.2999999999999997E-2</v>
      </c>
      <c r="D23" s="38">
        <v>4.8399999999999999E-2</v>
      </c>
      <c r="E23" s="38">
        <v>6.8699999999999997E-2</v>
      </c>
      <c r="F23" s="38">
        <v>4.6899999999999997E-2</v>
      </c>
      <c r="G23" s="38">
        <v>6.6400000000000001E-2</v>
      </c>
      <c r="H23" s="38">
        <v>0.1749</v>
      </c>
      <c r="I23" s="38">
        <v>4.0899999999999999E-2</v>
      </c>
      <c r="J23" s="38">
        <v>-1.5699999999999999E-2</v>
      </c>
      <c r="K23" s="38">
        <v>-2.1700000000000001E-2</v>
      </c>
      <c r="L23" s="38">
        <v>4.3999999999999997E-2</v>
      </c>
      <c r="M23" s="38">
        <v>5.6000000000000001E-2</v>
      </c>
      <c r="N23" s="17">
        <v>1.72</v>
      </c>
      <c r="O23" s="17">
        <v>4.7999999999999996E-3</v>
      </c>
      <c r="P23" s="17">
        <v>1.24</v>
      </c>
      <c r="Q23" s="17">
        <v>1.18</v>
      </c>
      <c r="R23" s="17">
        <v>0.999</v>
      </c>
      <c r="S23" s="17">
        <v>0.34</v>
      </c>
      <c r="T23" s="17">
        <v>20081231</v>
      </c>
      <c r="U23" s="17">
        <v>20190731</v>
      </c>
      <c r="V23" s="17">
        <v>128</v>
      </c>
    </row>
    <row r="24" spans="1:22" hidden="1">
      <c r="A24" s="17" t="s">
        <v>1598</v>
      </c>
      <c r="B24" s="38">
        <v>3.04E-2</v>
      </c>
      <c r="C24" s="38">
        <v>4.58E-2</v>
      </c>
      <c r="D24" s="38">
        <v>4.7E-2</v>
      </c>
      <c r="E24" s="38">
        <v>7.2700000000000001E-2</v>
      </c>
      <c r="F24" s="38">
        <v>6.9000000000000006E-2</v>
      </c>
      <c r="G24" s="38">
        <v>7.0300000000000001E-2</v>
      </c>
      <c r="H24" s="38">
        <v>8.4099999999999994E-2</v>
      </c>
      <c r="I24" s="38">
        <v>9.8699999999999996E-2</v>
      </c>
      <c r="J24" s="38">
        <v>2.06E-2</v>
      </c>
      <c r="K24" s="38">
        <v>2.23E-2</v>
      </c>
      <c r="L24" s="38">
        <v>4.7399999999999998E-2</v>
      </c>
      <c r="M24" s="38">
        <v>5.6000000000000001E-2</v>
      </c>
      <c r="N24" s="17">
        <v>3.19</v>
      </c>
      <c r="O24" s="17">
        <v>4.4999999999999997E-3</v>
      </c>
      <c r="P24" s="17">
        <v>2.33</v>
      </c>
      <c r="Q24" s="17">
        <v>1.28</v>
      </c>
      <c r="R24" s="17">
        <v>0.91200000000000003</v>
      </c>
      <c r="S24" s="17">
        <v>0.46</v>
      </c>
      <c r="T24" s="17">
        <v>20081231</v>
      </c>
      <c r="U24" s="17">
        <v>20190731</v>
      </c>
      <c r="V24" s="17">
        <v>128</v>
      </c>
    </row>
    <row r="25" spans="1:22">
      <c r="A25" s="17" t="s">
        <v>1519</v>
      </c>
      <c r="B25" s="38">
        <v>4.9299999999999997E-2</v>
      </c>
      <c r="C25" s="38">
        <v>2.5100000000000001E-2</v>
      </c>
      <c r="D25" s="38">
        <v>6.1800000000000001E-2</v>
      </c>
      <c r="E25" s="38">
        <v>5.3100000000000001E-2</v>
      </c>
      <c r="F25" s="38">
        <v>6.1199999999999997E-2</v>
      </c>
      <c r="G25" s="38">
        <v>9.2999999999999999E-2</v>
      </c>
      <c r="H25" s="38">
        <v>8.2799999999999999E-2</v>
      </c>
      <c r="I25" s="38">
        <v>0.1202</v>
      </c>
      <c r="J25" s="38">
        <v>1.8200000000000001E-2</v>
      </c>
      <c r="K25" s="38">
        <v>2.1000000000000001E-2</v>
      </c>
      <c r="L25" s="38">
        <v>2.6100000000000002E-2</v>
      </c>
      <c r="M25" s="38">
        <v>5.7000000000000002E-2</v>
      </c>
      <c r="N25" s="17">
        <v>2.2799999999999998</v>
      </c>
      <c r="O25" s="17">
        <v>3.5999999999999999E-3</v>
      </c>
      <c r="P25" s="17">
        <v>1.52</v>
      </c>
      <c r="Q25" s="17">
        <v>1.05</v>
      </c>
      <c r="R25" s="17">
        <v>0.96299999999999997</v>
      </c>
      <c r="S25" s="17">
        <v>0.88</v>
      </c>
      <c r="T25" s="17">
        <v>20081231</v>
      </c>
      <c r="U25" s="17">
        <v>20190731</v>
      </c>
      <c r="V25" s="17">
        <v>128</v>
      </c>
    </row>
    <row r="26" spans="1:22" hidden="1">
      <c r="A26" s="17" t="s">
        <v>1547</v>
      </c>
      <c r="B26" s="38">
        <v>6.4100000000000004E-2</v>
      </c>
      <c r="C26" s="38">
        <v>0.06</v>
      </c>
      <c r="D26" s="38">
        <v>8.4599999999999995E-2</v>
      </c>
      <c r="E26" s="38">
        <v>7.9200000000000007E-2</v>
      </c>
      <c r="F26" s="38">
        <v>4.1099999999999998E-2</v>
      </c>
      <c r="G26" s="38">
        <v>2.9600000000000001E-2</v>
      </c>
      <c r="H26" s="38">
        <v>0.12690000000000001</v>
      </c>
      <c r="I26" s="38">
        <v>5.2699999999999997E-2</v>
      </c>
      <c r="J26" s="38">
        <v>2.8799999999999999E-2</v>
      </c>
      <c r="K26" s="38">
        <v>-5.4999999999999997E-3</v>
      </c>
      <c r="L26" s="38">
        <v>4.3700000000000003E-2</v>
      </c>
      <c r="M26" s="38">
        <v>5.5E-2</v>
      </c>
      <c r="N26" s="17">
        <v>2.66</v>
      </c>
      <c r="O26" s="17">
        <v>4.5999999999999999E-3</v>
      </c>
      <c r="P26" s="17">
        <v>1.99</v>
      </c>
      <c r="Q26" s="17">
        <v>1.23</v>
      </c>
      <c r="R26" s="17">
        <v>0.90500000000000003</v>
      </c>
      <c r="S26" s="17">
        <v>0.7</v>
      </c>
      <c r="T26" s="17">
        <v>20081231</v>
      </c>
      <c r="U26" s="17">
        <v>20190731</v>
      </c>
      <c r="V26" s="17">
        <v>128</v>
      </c>
    </row>
    <row r="27" spans="1:22" hidden="1">
      <c r="A27" s="17" t="s">
        <v>1550</v>
      </c>
      <c r="B27" s="38">
        <v>0.10929999999999999</v>
      </c>
      <c r="C27" s="38">
        <v>3.1600000000000003E-2</v>
      </c>
      <c r="D27" s="38">
        <v>4.1300000000000003E-2</v>
      </c>
      <c r="E27" s="38">
        <v>7.1400000000000005E-2</v>
      </c>
      <c r="F27" s="38">
        <v>5.3900000000000003E-2</v>
      </c>
      <c r="G27" s="38">
        <v>6.4600000000000005E-2</v>
      </c>
      <c r="H27" s="38">
        <v>0.16320000000000001</v>
      </c>
      <c r="I27" s="38">
        <v>6.1400000000000003E-2</v>
      </c>
      <c r="J27" s="38">
        <v>-1.4E-2</v>
      </c>
      <c r="K27" s="38">
        <v>-2.4500000000000001E-2</v>
      </c>
      <c r="L27" s="38">
        <v>4.1700000000000001E-2</v>
      </c>
      <c r="M27" s="38">
        <v>5.5E-2</v>
      </c>
      <c r="N27" s="17">
        <v>2.16</v>
      </c>
      <c r="O27" s="17">
        <v>3.7000000000000002E-3</v>
      </c>
      <c r="P27" s="17">
        <v>1.47</v>
      </c>
      <c r="Q27" s="17">
        <v>0.95</v>
      </c>
      <c r="R27" s="17">
        <v>0.94399999999999995</v>
      </c>
      <c r="S27" s="17">
        <v>0.34</v>
      </c>
      <c r="T27" s="17">
        <v>20081231</v>
      </c>
      <c r="U27" s="17">
        <v>20190731</v>
      </c>
      <c r="V27" s="17">
        <v>128</v>
      </c>
    </row>
    <row r="28" spans="1:22">
      <c r="A28" s="17" t="s">
        <v>2299</v>
      </c>
      <c r="B28" s="38">
        <v>5.74E-2</v>
      </c>
      <c r="C28" s="38">
        <v>2.52E-2</v>
      </c>
      <c r="D28" s="38">
        <v>5.2999999999999999E-2</v>
      </c>
      <c r="E28" s="38">
        <v>3.6200000000000003E-2</v>
      </c>
      <c r="F28" s="38">
        <v>5.8700000000000002E-2</v>
      </c>
      <c r="G28" s="38">
        <v>7.6700000000000004E-2</v>
      </c>
      <c r="H28" s="38">
        <v>7.9899999999999999E-2</v>
      </c>
      <c r="I28" s="38">
        <v>7.2800000000000004E-2</v>
      </c>
      <c r="J28" s="38">
        <v>7.0599999999999996E-2</v>
      </c>
      <c r="K28" s="38">
        <v>5.6300000000000003E-2</v>
      </c>
      <c r="L28" s="38">
        <v>2.29E-2</v>
      </c>
      <c r="M28" s="38">
        <v>5.6000000000000001E-2</v>
      </c>
      <c r="N28" s="17">
        <v>2.54</v>
      </c>
      <c r="O28" s="17">
        <v>3.5999999999999999E-3</v>
      </c>
      <c r="P28" s="17">
        <v>1.44</v>
      </c>
      <c r="Q28" s="17">
        <v>1.04</v>
      </c>
      <c r="R28" s="17">
        <v>0.97</v>
      </c>
      <c r="S28" s="17">
        <v>0.94</v>
      </c>
      <c r="T28" s="17">
        <v>20081231</v>
      </c>
      <c r="U28" s="17">
        <v>20190731</v>
      </c>
      <c r="V28" s="17">
        <v>128</v>
      </c>
    </row>
    <row r="29" spans="1:22">
      <c r="A29" s="17" t="s">
        <v>1570</v>
      </c>
      <c r="B29" s="38">
        <v>7.7100000000000002E-2</v>
      </c>
      <c r="C29" s="38">
        <v>5.21E-2</v>
      </c>
      <c r="D29" s="38">
        <v>6.9699999999999998E-2</v>
      </c>
      <c r="E29" s="38">
        <v>4.8000000000000001E-2</v>
      </c>
      <c r="F29" s="38">
        <v>4.9599999999999998E-2</v>
      </c>
      <c r="G29" s="38">
        <v>7.2900000000000006E-2</v>
      </c>
      <c r="H29" s="38">
        <v>0.1091</v>
      </c>
      <c r="I29" s="38">
        <v>0.1135</v>
      </c>
      <c r="J29" s="38">
        <v>4.82E-2</v>
      </c>
      <c r="K29" s="38">
        <v>2.7E-2</v>
      </c>
      <c r="L29" s="38">
        <v>1.7399999999999999E-2</v>
      </c>
      <c r="M29" s="38">
        <v>6.4000000000000001E-2</v>
      </c>
      <c r="N29" s="17">
        <v>2.6</v>
      </c>
      <c r="O29" s="17">
        <v>3.5000000000000001E-3</v>
      </c>
      <c r="P29" s="17">
        <v>1.37</v>
      </c>
      <c r="Q29" s="17">
        <v>1.02</v>
      </c>
      <c r="R29" s="17">
        <v>0.96299999999999997</v>
      </c>
      <c r="S29" s="17">
        <v>0.3</v>
      </c>
      <c r="T29" s="17">
        <v>20081231</v>
      </c>
      <c r="U29" s="17">
        <v>20190731</v>
      </c>
      <c r="V29" s="17">
        <v>128</v>
      </c>
    </row>
    <row r="30" spans="1:22" hidden="1">
      <c r="A30" s="17" t="s">
        <v>1520</v>
      </c>
      <c r="B30" s="38">
        <v>9.64E-2</v>
      </c>
      <c r="C30" s="38">
        <v>4.3799999999999999E-2</v>
      </c>
      <c r="D30" s="38">
        <v>3.49E-2</v>
      </c>
      <c r="E30" s="38">
        <v>6.6299999999999998E-2</v>
      </c>
      <c r="F30" s="38">
        <v>5.8500000000000003E-2</v>
      </c>
      <c r="G30" s="38">
        <v>3.9899999999999998E-2</v>
      </c>
      <c r="H30" s="38">
        <v>0.1487</v>
      </c>
      <c r="I30" s="38">
        <v>2.23E-2</v>
      </c>
      <c r="J30" s="38">
        <v>2.5899999999999999E-2</v>
      </c>
      <c r="K30" s="38">
        <v>3.5000000000000001E-3</v>
      </c>
      <c r="L30" s="38">
        <v>3.8600000000000002E-2</v>
      </c>
      <c r="M30" s="38">
        <v>5.2999999999999999E-2</v>
      </c>
      <c r="N30" s="17">
        <v>2.0099999999999998</v>
      </c>
      <c r="O30" s="17">
        <v>3.8999999999999998E-3</v>
      </c>
      <c r="P30" s="17">
        <v>1.29</v>
      </c>
      <c r="Q30" s="17">
        <v>0.99</v>
      </c>
      <c r="R30" s="17">
        <v>0.999</v>
      </c>
      <c r="S30" s="17">
        <v>-7.0000000000000007E-2</v>
      </c>
      <c r="T30" s="17">
        <v>20081231</v>
      </c>
      <c r="U30" s="17">
        <v>20190731</v>
      </c>
      <c r="V30" s="17">
        <v>128</v>
      </c>
    </row>
    <row r="31" spans="1:22" hidden="1">
      <c r="A31" s="17" t="s">
        <v>1606</v>
      </c>
      <c r="B31" s="38">
        <v>5.1499999999999997E-2</v>
      </c>
      <c r="C31" s="38">
        <v>6.13E-2</v>
      </c>
      <c r="D31" s="38">
        <v>8.3000000000000004E-2</v>
      </c>
      <c r="E31" s="38">
        <v>7.4800000000000005E-2</v>
      </c>
      <c r="F31" s="38">
        <v>4.5699999999999998E-2</v>
      </c>
      <c r="G31" s="38">
        <v>2.58E-2</v>
      </c>
      <c r="H31" s="38">
        <v>0.1245</v>
      </c>
      <c r="I31" s="38">
        <v>5.7799999999999997E-2</v>
      </c>
      <c r="J31" s="38">
        <v>2.1499999999999998E-2</v>
      </c>
      <c r="K31" s="38">
        <v>-4.1000000000000003E-3</v>
      </c>
      <c r="L31" s="38">
        <v>3.0499999999999999E-2</v>
      </c>
      <c r="M31" s="38">
        <v>5.2999999999999999E-2</v>
      </c>
      <c r="N31" s="17">
        <v>2.4</v>
      </c>
      <c r="O31" s="17">
        <v>4.4000000000000003E-3</v>
      </c>
      <c r="P31" s="17">
        <v>1.8</v>
      </c>
      <c r="Q31" s="17">
        <v>1.23</v>
      </c>
      <c r="R31" s="17">
        <v>0.999</v>
      </c>
      <c r="S31" s="17">
        <v>0.73</v>
      </c>
      <c r="T31" s="17">
        <v>20081231</v>
      </c>
      <c r="U31" s="17">
        <v>20190731</v>
      </c>
      <c r="V31" s="17">
        <v>128</v>
      </c>
    </row>
    <row r="32" spans="1:22" hidden="1">
      <c r="A32" s="17" t="s">
        <v>1556</v>
      </c>
      <c r="B32" s="38">
        <v>7.7799999999999994E-2</v>
      </c>
      <c r="C32" s="38">
        <v>2.81E-2</v>
      </c>
      <c r="D32" s="38">
        <v>4.9500000000000002E-2</v>
      </c>
      <c r="E32" s="38">
        <v>3.5999999999999997E-2</v>
      </c>
      <c r="F32" s="38">
        <v>4.0399999999999998E-2</v>
      </c>
      <c r="G32" s="38">
        <v>8.3400000000000002E-2</v>
      </c>
      <c r="H32" s="38">
        <v>7.5800000000000006E-2</v>
      </c>
      <c r="I32" s="38">
        <v>0.11119999999999999</v>
      </c>
      <c r="J32" s="38">
        <v>1.38E-2</v>
      </c>
      <c r="K32" s="38">
        <v>2.6100000000000002E-2</v>
      </c>
      <c r="L32" s="38">
        <v>3.1600000000000003E-2</v>
      </c>
      <c r="M32" s="38">
        <v>5.2999999999999999E-2</v>
      </c>
      <c r="N32" s="17">
        <v>2.5099999999999998</v>
      </c>
      <c r="O32" s="17">
        <v>5.1999999999999998E-3</v>
      </c>
      <c r="P32" s="17">
        <v>2.1</v>
      </c>
      <c r="Q32" s="17">
        <v>1.26</v>
      </c>
      <c r="R32" s="17">
        <v>0.96299999999999997</v>
      </c>
      <c r="S32" s="17">
        <v>0.93</v>
      </c>
      <c r="T32" s="17">
        <v>20081231</v>
      </c>
      <c r="U32" s="17">
        <v>20190731</v>
      </c>
      <c r="V32" s="17">
        <v>128</v>
      </c>
    </row>
    <row r="33" spans="1:22" hidden="1">
      <c r="A33" s="17" t="s">
        <v>1561</v>
      </c>
      <c r="B33" s="38">
        <v>7.7700000000000005E-2</v>
      </c>
      <c r="C33" s="38">
        <v>2.8000000000000001E-2</v>
      </c>
      <c r="D33" s="38">
        <v>4.9399999999999999E-2</v>
      </c>
      <c r="E33" s="38">
        <v>3.5799999999999998E-2</v>
      </c>
      <c r="F33" s="38">
        <v>4.02E-2</v>
      </c>
      <c r="G33" s="38">
        <v>8.3299999999999999E-2</v>
      </c>
      <c r="H33" s="38">
        <v>7.5399999999999995E-2</v>
      </c>
      <c r="I33" s="38">
        <v>0.11119999999999999</v>
      </c>
      <c r="J33" s="38">
        <v>1.4E-2</v>
      </c>
      <c r="K33" s="38">
        <v>2.5999999999999999E-2</v>
      </c>
      <c r="L33" s="38">
        <v>3.15E-2</v>
      </c>
      <c r="M33" s="38">
        <v>5.2999999999999999E-2</v>
      </c>
      <c r="N33" s="17">
        <v>2.5099999999999998</v>
      </c>
      <c r="O33" s="17">
        <v>5.1999999999999998E-3</v>
      </c>
      <c r="P33" s="17">
        <v>2.09</v>
      </c>
      <c r="Q33" s="17">
        <v>1.26</v>
      </c>
      <c r="R33" s="17">
        <v>0.96299999999999997</v>
      </c>
      <c r="S33" s="17">
        <v>0.93</v>
      </c>
      <c r="T33" s="17">
        <v>20081231</v>
      </c>
      <c r="U33" s="17">
        <v>20190731</v>
      </c>
      <c r="V33" s="17">
        <v>128</v>
      </c>
    </row>
    <row r="34" spans="1:22">
      <c r="A34" s="17" t="s">
        <v>1571</v>
      </c>
      <c r="B34" s="38">
        <v>4.5699999999999998E-2</v>
      </c>
      <c r="C34" s="38">
        <v>2.2200000000000001E-2</v>
      </c>
      <c r="D34" s="38">
        <v>2.6100000000000002E-2</v>
      </c>
      <c r="E34" s="38">
        <v>0.02</v>
      </c>
      <c r="F34" s="38">
        <v>4.1500000000000002E-2</v>
      </c>
      <c r="G34" s="38">
        <v>7.1099999999999997E-2</v>
      </c>
      <c r="H34" s="38">
        <v>7.0699999999999999E-2</v>
      </c>
      <c r="I34" s="38">
        <v>7.5300000000000006E-2</v>
      </c>
      <c r="J34" s="38">
        <v>8.7999999999999995E-2</v>
      </c>
      <c r="K34" s="38">
        <v>5.5500000000000001E-2</v>
      </c>
      <c r="L34" s="38">
        <v>1.6899999999999998E-2</v>
      </c>
      <c r="M34" s="38">
        <v>4.9000000000000002E-2</v>
      </c>
      <c r="N34" s="17">
        <v>2.4300000000000002</v>
      </c>
      <c r="O34" s="17">
        <v>3.0000000000000001E-3</v>
      </c>
      <c r="P34" s="17">
        <v>1.32</v>
      </c>
      <c r="Q34" s="17">
        <v>0.86</v>
      </c>
      <c r="R34" s="17">
        <v>0.96099999999999997</v>
      </c>
      <c r="S34" s="17">
        <v>0.97</v>
      </c>
      <c r="T34" s="17">
        <v>20081231</v>
      </c>
      <c r="U34" s="17">
        <v>20190731</v>
      </c>
      <c r="V34" s="17">
        <v>128</v>
      </c>
    </row>
    <row r="35" spans="1:22" hidden="1">
      <c r="A35" s="17" t="s">
        <v>1597</v>
      </c>
      <c r="B35" s="38">
        <v>3.9100000000000003E-2</v>
      </c>
      <c r="C35" s="38">
        <v>4.4299999999999999E-2</v>
      </c>
      <c r="D35" s="38">
        <v>4.6399999999999997E-2</v>
      </c>
      <c r="E35" s="38">
        <v>5.5E-2</v>
      </c>
      <c r="F35" s="38">
        <v>5.2499999999999998E-2</v>
      </c>
      <c r="G35" s="38">
        <v>6.9900000000000004E-2</v>
      </c>
      <c r="H35" s="38">
        <v>8.5500000000000007E-2</v>
      </c>
      <c r="I35" s="38">
        <v>9.0700000000000003E-2</v>
      </c>
      <c r="J35" s="38">
        <v>1.7399999999999999E-2</v>
      </c>
      <c r="K35" s="38">
        <v>1.8700000000000001E-2</v>
      </c>
      <c r="L35" s="38">
        <v>4.7E-2</v>
      </c>
      <c r="M35" s="38">
        <v>5.1999999999999998E-2</v>
      </c>
      <c r="N35" s="17">
        <v>2.93</v>
      </c>
      <c r="O35" s="17">
        <v>4.1999999999999997E-3</v>
      </c>
      <c r="P35" s="17">
        <v>2.04</v>
      </c>
      <c r="Q35" s="17">
        <v>1.2</v>
      </c>
      <c r="R35" s="17">
        <v>0.91200000000000003</v>
      </c>
      <c r="S35" s="17">
        <v>0.44</v>
      </c>
      <c r="T35" s="17">
        <v>20081231</v>
      </c>
      <c r="U35" s="17">
        <v>20190731</v>
      </c>
      <c r="V35" s="17">
        <v>128</v>
      </c>
    </row>
    <row r="36" spans="1:22">
      <c r="A36" s="17" t="s">
        <v>1572</v>
      </c>
      <c r="B36" s="38">
        <v>6.3700000000000007E-2</v>
      </c>
      <c r="C36" s="38">
        <v>2.4400000000000002E-2</v>
      </c>
      <c r="D36" s="38">
        <v>6.6199999999999995E-2</v>
      </c>
      <c r="E36" s="38">
        <v>5.8200000000000002E-2</v>
      </c>
      <c r="F36" s="38">
        <v>4.8800000000000003E-2</v>
      </c>
      <c r="G36" s="38">
        <v>8.7300000000000003E-2</v>
      </c>
      <c r="H36" s="38">
        <v>8.5099999999999995E-2</v>
      </c>
      <c r="I36" s="38">
        <v>0.1462</v>
      </c>
      <c r="J36" s="38">
        <v>6.5000000000000002E-2</v>
      </c>
      <c r="K36" s="38">
        <v>5.5300000000000002E-2</v>
      </c>
      <c r="L36" s="38">
        <v>1.7000000000000001E-2</v>
      </c>
      <c r="M36" s="38">
        <v>6.7000000000000004E-2</v>
      </c>
      <c r="N36" s="17">
        <v>2.44</v>
      </c>
      <c r="O36" s="17">
        <v>4.0000000000000001E-3</v>
      </c>
      <c r="P36" s="17">
        <v>1.4</v>
      </c>
      <c r="Q36" s="17">
        <v>1.18</v>
      </c>
      <c r="R36" s="17">
        <v>0.96299999999999997</v>
      </c>
      <c r="S36" s="17">
        <v>0.78</v>
      </c>
      <c r="T36" s="17">
        <v>20081231</v>
      </c>
      <c r="U36" s="17">
        <v>20190731</v>
      </c>
      <c r="V36" s="17">
        <v>128</v>
      </c>
    </row>
    <row r="37" spans="1:22" hidden="1">
      <c r="A37" s="17" t="s">
        <v>1522</v>
      </c>
      <c r="B37" s="38">
        <v>9.3799999999999994E-2</v>
      </c>
      <c r="C37" s="38">
        <v>3.2800000000000003E-2</v>
      </c>
      <c r="D37" s="38">
        <v>3.6999999999999998E-2</v>
      </c>
      <c r="E37" s="38">
        <v>5.91E-2</v>
      </c>
      <c r="F37" s="38">
        <v>4.58E-2</v>
      </c>
      <c r="G37" s="38">
        <v>4.0599999999999997E-2</v>
      </c>
      <c r="H37" s="38">
        <v>0.14710000000000001</v>
      </c>
      <c r="I37" s="38">
        <v>2.8799999999999999E-2</v>
      </c>
      <c r="J37" s="38">
        <v>2.07E-2</v>
      </c>
      <c r="K37" s="38">
        <v>1.2800000000000001E-2</v>
      </c>
      <c r="L37" s="38">
        <v>3.3399999999999999E-2</v>
      </c>
      <c r="M37" s="38">
        <v>5.0999999999999997E-2</v>
      </c>
      <c r="N37" s="17">
        <v>1.99</v>
      </c>
      <c r="O37" s="17">
        <v>4.1000000000000003E-3</v>
      </c>
      <c r="P37" s="17">
        <v>1.4</v>
      </c>
      <c r="Q37" s="17">
        <v>1.07</v>
      </c>
      <c r="R37" s="17">
        <v>0.999</v>
      </c>
      <c r="S37" s="17">
        <v>-0.08</v>
      </c>
      <c r="T37" s="17">
        <v>20081231</v>
      </c>
      <c r="U37" s="17">
        <v>20190731</v>
      </c>
      <c r="V37" s="17">
        <v>128</v>
      </c>
    </row>
    <row r="38" spans="1:22">
      <c r="A38" s="17" t="s">
        <v>2298</v>
      </c>
      <c r="B38" s="38">
        <v>5.7200000000000001E-2</v>
      </c>
      <c r="C38" s="38">
        <v>2.86E-2</v>
      </c>
      <c r="D38" s="38">
        <v>5.6800000000000003E-2</v>
      </c>
      <c r="E38" s="38">
        <v>3.8300000000000001E-2</v>
      </c>
      <c r="F38" s="38">
        <v>6.4199999999999993E-2</v>
      </c>
      <c r="G38" s="38">
        <v>7.4499999999999997E-2</v>
      </c>
      <c r="H38" s="38">
        <v>8.0600000000000005E-2</v>
      </c>
      <c r="I38" s="38">
        <v>0.10580000000000001</v>
      </c>
      <c r="J38" s="38">
        <v>6.2100000000000002E-2</v>
      </c>
      <c r="K38" s="38">
        <v>4.5400000000000003E-2</v>
      </c>
      <c r="L38" s="38">
        <v>1.95E-2</v>
      </c>
      <c r="M38" s="38">
        <v>5.8999999999999997E-2</v>
      </c>
      <c r="N38" s="17">
        <v>2.37</v>
      </c>
      <c r="O38" s="17">
        <v>3.8E-3</v>
      </c>
      <c r="P38" s="17">
        <v>1.4</v>
      </c>
      <c r="Q38" s="17">
        <v>1.1299999999999999</v>
      </c>
      <c r="R38" s="17">
        <v>0.96299999999999997</v>
      </c>
      <c r="S38" s="17">
        <v>0.9</v>
      </c>
      <c r="T38" s="17">
        <v>20081231</v>
      </c>
      <c r="U38" s="17">
        <v>20190731</v>
      </c>
      <c r="V38" s="17">
        <v>128</v>
      </c>
    </row>
    <row r="39" spans="1:22" hidden="1">
      <c r="A39" s="17" t="s">
        <v>1521</v>
      </c>
      <c r="B39" s="38">
        <v>8.14E-2</v>
      </c>
      <c r="C39" s="38">
        <v>4.8300000000000003E-2</v>
      </c>
      <c r="D39" s="38">
        <v>4.4299999999999999E-2</v>
      </c>
      <c r="E39" s="38">
        <v>3.9699999999999999E-2</v>
      </c>
      <c r="F39" s="38">
        <v>4.5400000000000003E-2</v>
      </c>
      <c r="G39" s="38">
        <v>3.6600000000000001E-2</v>
      </c>
      <c r="H39" s="38">
        <v>0.13500000000000001</v>
      </c>
      <c r="I39" s="38">
        <v>3.3099999999999997E-2</v>
      </c>
      <c r="J39" s="38">
        <v>3.56E-2</v>
      </c>
      <c r="K39" s="38">
        <v>1.77E-2</v>
      </c>
      <c r="L39" s="38">
        <v>3.1099999999999999E-2</v>
      </c>
      <c r="M39" s="38">
        <v>0.05</v>
      </c>
      <c r="N39" s="17">
        <v>2.39</v>
      </c>
      <c r="O39" s="17">
        <v>4.1999999999999997E-3</v>
      </c>
      <c r="P39" s="17">
        <v>1.9</v>
      </c>
      <c r="Q39" s="17">
        <v>1.0900000000000001</v>
      </c>
      <c r="R39" s="17">
        <v>0.999</v>
      </c>
      <c r="S39" s="17">
        <v>-0.06</v>
      </c>
      <c r="T39" s="17">
        <v>20081231</v>
      </c>
      <c r="U39" s="17">
        <v>20190731</v>
      </c>
      <c r="V39" s="17">
        <v>128</v>
      </c>
    </row>
    <row r="40" spans="1:22" hidden="1">
      <c r="A40" s="17" t="s">
        <v>1523</v>
      </c>
      <c r="B40" s="38">
        <v>6.83E-2</v>
      </c>
      <c r="C40" s="38">
        <v>3.9699999999999999E-2</v>
      </c>
      <c r="D40" s="38">
        <v>5.4899999999999997E-2</v>
      </c>
      <c r="E40" s="38">
        <v>6.7100000000000007E-2</v>
      </c>
      <c r="F40" s="38">
        <v>3.8899999999999997E-2</v>
      </c>
      <c r="G40" s="38">
        <v>5.0799999999999998E-2</v>
      </c>
      <c r="H40" s="38">
        <v>0.1598</v>
      </c>
      <c r="I40" s="38">
        <v>4.3400000000000001E-2</v>
      </c>
      <c r="J40" s="38">
        <v>6.4999999999999997E-3</v>
      </c>
      <c r="K40" s="38">
        <v>-1.26E-2</v>
      </c>
      <c r="L40" s="38">
        <v>3.2899999999999999E-2</v>
      </c>
      <c r="M40" s="38">
        <v>0.05</v>
      </c>
      <c r="N40" s="17">
        <v>1.77</v>
      </c>
      <c r="O40" s="17">
        <v>3.8E-3</v>
      </c>
      <c r="P40" s="17">
        <v>1.18</v>
      </c>
      <c r="Q40" s="17">
        <v>0.96</v>
      </c>
      <c r="R40" s="17">
        <v>0.999</v>
      </c>
      <c r="S40" s="17">
        <v>0.56000000000000005</v>
      </c>
      <c r="T40" s="17">
        <v>20081231</v>
      </c>
      <c r="U40" s="17">
        <v>20190731</v>
      </c>
      <c r="V40" s="17">
        <v>128</v>
      </c>
    </row>
    <row r="41" spans="1:22" hidden="1">
      <c r="A41" s="17" t="s">
        <v>1524</v>
      </c>
      <c r="B41" s="38">
        <v>5.45E-2</v>
      </c>
      <c r="C41" s="38">
        <v>5.5100000000000003E-2</v>
      </c>
      <c r="D41" s="38">
        <v>6.6400000000000001E-2</v>
      </c>
      <c r="E41" s="38">
        <v>5.5899999999999998E-2</v>
      </c>
      <c r="F41" s="38">
        <v>3.95E-2</v>
      </c>
      <c r="G41" s="38">
        <v>4.0399999999999998E-2</v>
      </c>
      <c r="H41" s="38">
        <v>0.1298</v>
      </c>
      <c r="I41" s="38">
        <v>4.5699999999999998E-2</v>
      </c>
      <c r="J41" s="38">
        <v>2.8000000000000001E-2</v>
      </c>
      <c r="K41" s="38">
        <v>-1.04E-2</v>
      </c>
      <c r="L41" s="38">
        <v>4.7500000000000001E-2</v>
      </c>
      <c r="M41" s="38">
        <v>0.05</v>
      </c>
      <c r="N41" s="17">
        <v>2.38</v>
      </c>
      <c r="O41" s="17">
        <v>4.3E-3</v>
      </c>
      <c r="P41" s="17">
        <v>1.83</v>
      </c>
      <c r="Q41" s="17">
        <v>1.04</v>
      </c>
      <c r="R41" s="17">
        <v>0.999</v>
      </c>
      <c r="S41" s="17">
        <v>0.55000000000000004</v>
      </c>
      <c r="T41" s="17">
        <v>20081231</v>
      </c>
      <c r="U41" s="17">
        <v>20190731</v>
      </c>
      <c r="V41" s="17">
        <v>128</v>
      </c>
    </row>
    <row r="42" spans="1:22" hidden="1">
      <c r="A42" s="17" t="s">
        <v>1536</v>
      </c>
      <c r="B42" s="38">
        <v>2.87E-2</v>
      </c>
      <c r="C42" s="38">
        <v>3.9899999999999998E-2</v>
      </c>
      <c r="D42" s="38">
        <v>7.8899999999999998E-2</v>
      </c>
      <c r="E42" s="38">
        <v>8.2299999999999998E-2</v>
      </c>
      <c r="F42" s="38">
        <v>3.2500000000000001E-2</v>
      </c>
      <c r="G42" s="38">
        <v>3.1099999999999999E-2</v>
      </c>
      <c r="H42" s="38">
        <v>0.1091</v>
      </c>
      <c r="I42" s="38">
        <v>5.5500000000000001E-2</v>
      </c>
      <c r="J42" s="38">
        <v>2.1700000000000001E-2</v>
      </c>
      <c r="K42" s="38">
        <v>2.4500000000000001E-2</v>
      </c>
      <c r="L42" s="38">
        <v>4.9200000000000001E-2</v>
      </c>
      <c r="M42" s="38">
        <v>0.05</v>
      </c>
      <c r="N42" s="17">
        <v>2.6</v>
      </c>
      <c r="O42" s="17">
        <v>4.1000000000000003E-3</v>
      </c>
      <c r="P42" s="17">
        <v>1.98</v>
      </c>
      <c r="Q42" s="17">
        <v>1.1399999999999999</v>
      </c>
      <c r="R42" s="17">
        <v>0.999</v>
      </c>
      <c r="S42" s="17">
        <v>0.79</v>
      </c>
      <c r="T42" s="17">
        <v>20081231</v>
      </c>
      <c r="U42" s="17">
        <v>20190731</v>
      </c>
      <c r="V42" s="17">
        <v>128</v>
      </c>
    </row>
    <row r="43" spans="1:22" hidden="1">
      <c r="A43" s="17" t="s">
        <v>1539</v>
      </c>
      <c r="B43" s="38">
        <v>9.0999999999999998E-2</v>
      </c>
      <c r="C43" s="38">
        <v>2.3E-2</v>
      </c>
      <c r="D43" s="38">
        <v>3.0800000000000001E-2</v>
      </c>
      <c r="E43" s="38">
        <v>6.6600000000000006E-2</v>
      </c>
      <c r="F43" s="38">
        <v>4.7100000000000003E-2</v>
      </c>
      <c r="G43" s="38">
        <v>4.9200000000000001E-2</v>
      </c>
      <c r="H43" s="38">
        <v>0.1636</v>
      </c>
      <c r="I43" s="38">
        <v>2.87E-2</v>
      </c>
      <c r="J43" s="38">
        <v>2.5999999999999999E-3</v>
      </c>
      <c r="K43" s="38">
        <v>2.3E-3</v>
      </c>
      <c r="L43" s="38">
        <v>3.1800000000000002E-2</v>
      </c>
      <c r="M43" s="38">
        <v>4.9000000000000002E-2</v>
      </c>
      <c r="N43" s="17">
        <v>1.71</v>
      </c>
      <c r="O43" s="17">
        <v>4.0000000000000001E-3</v>
      </c>
      <c r="P43" s="17">
        <v>1.17</v>
      </c>
      <c r="Q43" s="17">
        <v>1.04</v>
      </c>
      <c r="R43" s="17">
        <v>0.96299999999999997</v>
      </c>
      <c r="S43" s="17">
        <v>0.02</v>
      </c>
      <c r="T43" s="17">
        <v>20081231</v>
      </c>
      <c r="U43" s="17">
        <v>20190731</v>
      </c>
      <c r="V43" s="17">
        <v>128</v>
      </c>
    </row>
    <row r="44" spans="1:22">
      <c r="A44" s="17" t="s">
        <v>1564</v>
      </c>
      <c r="B44" s="38">
        <v>5.0500000000000003E-2</v>
      </c>
      <c r="C44" s="38">
        <v>1.35E-2</v>
      </c>
      <c r="D44" s="38">
        <v>5.4800000000000001E-2</v>
      </c>
      <c r="E44" s="38">
        <v>3.2099999999999997E-2</v>
      </c>
      <c r="F44" s="38">
        <v>5.0099999999999999E-2</v>
      </c>
      <c r="G44" s="38">
        <v>0.1051</v>
      </c>
      <c r="H44" s="38">
        <v>5.28E-2</v>
      </c>
      <c r="I44" s="38">
        <v>0.12089999999999999</v>
      </c>
      <c r="J44" s="38">
        <v>2.3900000000000001E-2</v>
      </c>
      <c r="K44" s="38">
        <v>4.7500000000000001E-2</v>
      </c>
      <c r="L44" s="38">
        <v>-5.4000000000000003E-3</v>
      </c>
      <c r="M44" s="38">
        <v>5.0999999999999997E-2</v>
      </c>
      <c r="N44" s="17">
        <v>1.89</v>
      </c>
      <c r="O44" s="17">
        <v>3.5000000000000001E-3</v>
      </c>
      <c r="P44" s="17">
        <v>1.1599999999999999</v>
      </c>
      <c r="Q44" s="17">
        <v>0.91</v>
      </c>
      <c r="R44" s="17">
        <v>0.97</v>
      </c>
      <c r="S44" s="17">
        <v>0.95</v>
      </c>
      <c r="T44" s="17">
        <v>20081231</v>
      </c>
      <c r="U44" s="17">
        <v>20190731</v>
      </c>
      <c r="V44" s="17">
        <v>128</v>
      </c>
    </row>
    <row r="45" spans="1:22">
      <c r="A45" s="17" t="s">
        <v>1565</v>
      </c>
      <c r="B45" s="38">
        <v>4.7199999999999999E-2</v>
      </c>
      <c r="C45" s="38">
        <v>3.7499999999999999E-2</v>
      </c>
      <c r="D45" s="38">
        <v>6.3500000000000001E-2</v>
      </c>
      <c r="E45" s="38">
        <v>3.7499999999999999E-2</v>
      </c>
      <c r="F45" s="38">
        <v>4.9299999999999997E-2</v>
      </c>
      <c r="G45" s="38">
        <v>9.7000000000000003E-2</v>
      </c>
      <c r="H45" s="38">
        <v>8.4500000000000006E-2</v>
      </c>
      <c r="I45" s="38">
        <v>0.1144</v>
      </c>
      <c r="J45" s="38">
        <v>2.2599999999999999E-2</v>
      </c>
      <c r="K45" s="38">
        <v>2.3099999999999999E-2</v>
      </c>
      <c r="L45" s="38">
        <v>1.7600000000000001E-2</v>
      </c>
      <c r="M45" s="38">
        <v>5.5E-2</v>
      </c>
      <c r="N45" s="17">
        <v>2.0099999999999998</v>
      </c>
      <c r="O45" s="17">
        <v>3.0000000000000001E-3</v>
      </c>
      <c r="P45" s="17">
        <v>1.06</v>
      </c>
      <c r="Q45" s="17">
        <v>0.89</v>
      </c>
      <c r="R45" s="17">
        <v>0.96299999999999997</v>
      </c>
      <c r="S45" s="17">
        <v>0.46</v>
      </c>
      <c r="T45" s="17">
        <v>20081231</v>
      </c>
      <c r="U45" s="17">
        <v>20190731</v>
      </c>
      <c r="V45" s="17">
        <v>128</v>
      </c>
    </row>
    <row r="46" spans="1:22" hidden="1">
      <c r="A46" s="17" t="s">
        <v>1525</v>
      </c>
      <c r="B46" s="38">
        <v>6.7400000000000002E-2</v>
      </c>
      <c r="C46" s="38">
        <v>3.1199999999999999E-2</v>
      </c>
      <c r="D46" s="38">
        <v>5.5300000000000002E-2</v>
      </c>
      <c r="E46" s="38">
        <v>6.0400000000000002E-2</v>
      </c>
      <c r="F46" s="38">
        <v>4.5900000000000003E-2</v>
      </c>
      <c r="G46" s="38">
        <v>5.0799999999999998E-2</v>
      </c>
      <c r="H46" s="38">
        <v>0.14779999999999999</v>
      </c>
      <c r="I46" s="38">
        <v>4.48E-2</v>
      </c>
      <c r="J46" s="38">
        <v>5.8999999999999999E-3</v>
      </c>
      <c r="K46" s="38">
        <v>-1.6500000000000001E-2</v>
      </c>
      <c r="L46" s="38">
        <v>3.3300000000000003E-2</v>
      </c>
      <c r="M46" s="38">
        <v>4.8000000000000001E-2</v>
      </c>
      <c r="N46" s="17">
        <v>1.9</v>
      </c>
      <c r="O46" s="17">
        <v>4.0000000000000001E-3</v>
      </c>
      <c r="P46" s="17">
        <v>1.37</v>
      </c>
      <c r="Q46" s="17">
        <v>1.02</v>
      </c>
      <c r="R46" s="17">
        <v>0.999</v>
      </c>
      <c r="S46" s="17">
        <v>0.56000000000000005</v>
      </c>
      <c r="T46" s="17">
        <v>20081231</v>
      </c>
      <c r="U46" s="17">
        <v>20190731</v>
      </c>
      <c r="V46" s="17">
        <v>128</v>
      </c>
    </row>
    <row r="47" spans="1:22" hidden="1">
      <c r="A47" s="17" t="s">
        <v>1511</v>
      </c>
      <c r="B47" s="38">
        <v>0.1084</v>
      </c>
      <c r="C47" s="38">
        <v>2.5899999999999999E-2</v>
      </c>
      <c r="D47" s="38">
        <v>2.4799999999999999E-2</v>
      </c>
      <c r="E47" s="38">
        <v>6.5799999999999997E-2</v>
      </c>
      <c r="F47" s="38">
        <v>4.99E-2</v>
      </c>
      <c r="G47" s="38">
        <v>4.36E-2</v>
      </c>
      <c r="H47" s="38">
        <v>0.13919999999999999</v>
      </c>
      <c r="I47" s="38">
        <v>1.9599999999999999E-2</v>
      </c>
      <c r="J47" s="38">
        <v>-1.5E-3</v>
      </c>
      <c r="K47" s="38">
        <v>-1.29E-2</v>
      </c>
      <c r="L47" s="38">
        <v>5.04E-2</v>
      </c>
      <c r="M47" s="38">
        <v>4.7E-2</v>
      </c>
      <c r="N47" s="17">
        <v>1.63</v>
      </c>
      <c r="O47" s="17">
        <v>3.5999999999999999E-3</v>
      </c>
      <c r="P47" s="17">
        <v>1.08</v>
      </c>
      <c r="Q47" s="17">
        <v>0.83</v>
      </c>
      <c r="R47" s="17">
        <v>0.96199999999999997</v>
      </c>
      <c r="S47" s="17">
        <v>-0.03</v>
      </c>
      <c r="T47" s="17">
        <v>20081231</v>
      </c>
      <c r="U47" s="17">
        <v>20190731</v>
      </c>
      <c r="V47" s="17">
        <v>128</v>
      </c>
    </row>
    <row r="48" spans="1:22" hidden="1">
      <c r="A48" s="17" t="s">
        <v>1512</v>
      </c>
      <c r="B48" s="38">
        <v>8.3000000000000004E-2</v>
      </c>
      <c r="C48" s="38">
        <v>3.44E-2</v>
      </c>
      <c r="D48" s="38">
        <v>4.1500000000000002E-2</v>
      </c>
      <c r="E48" s="38">
        <v>5.5500000000000001E-2</v>
      </c>
      <c r="F48" s="38">
        <v>1.8800000000000001E-2</v>
      </c>
      <c r="G48" s="38">
        <v>6.8400000000000002E-2</v>
      </c>
      <c r="H48" s="38">
        <v>0.17560000000000001</v>
      </c>
      <c r="I48" s="38">
        <v>4.1099999999999998E-2</v>
      </c>
      <c r="J48" s="38">
        <v>-2.6499999999999999E-2</v>
      </c>
      <c r="K48" s="38">
        <v>-1.5900000000000001E-2</v>
      </c>
      <c r="L48" s="38">
        <v>3.0800000000000001E-2</v>
      </c>
      <c r="M48" s="38">
        <v>4.7E-2</v>
      </c>
      <c r="N48" s="17">
        <v>1.4</v>
      </c>
      <c r="O48" s="17">
        <v>3.8E-3</v>
      </c>
      <c r="P48" s="17">
        <v>1.03</v>
      </c>
      <c r="Q48" s="17">
        <v>0.91</v>
      </c>
      <c r="R48" s="17">
        <v>0.92</v>
      </c>
      <c r="S48" s="17">
        <v>0.45</v>
      </c>
      <c r="T48" s="17">
        <v>20081231</v>
      </c>
      <c r="U48" s="17">
        <v>20190731</v>
      </c>
      <c r="V48" s="17">
        <v>128</v>
      </c>
    </row>
    <row r="49" spans="1:22">
      <c r="A49" s="17" t="s">
        <v>1566</v>
      </c>
      <c r="B49" s="38">
        <v>3.6499999999999998E-2</v>
      </c>
      <c r="C49" s="38">
        <v>7.0000000000000001E-3</v>
      </c>
      <c r="D49" s="38">
        <v>3.8100000000000002E-2</v>
      </c>
      <c r="E49" s="38">
        <v>2.0299999999999999E-2</v>
      </c>
      <c r="F49" s="38">
        <v>4.1799999999999997E-2</v>
      </c>
      <c r="G49" s="38">
        <v>9.3799999999999994E-2</v>
      </c>
      <c r="H49" s="38">
        <v>3.4599999999999999E-2</v>
      </c>
      <c r="I49" s="38">
        <v>0.10730000000000001</v>
      </c>
      <c r="J49" s="38">
        <v>5.8400000000000001E-2</v>
      </c>
      <c r="K49" s="38">
        <v>5.1499999999999997E-2</v>
      </c>
      <c r="L49" s="38">
        <v>-9.7999999999999997E-3</v>
      </c>
      <c r="M49" s="38">
        <v>4.4999999999999998E-2</v>
      </c>
      <c r="N49" s="17">
        <v>1.88</v>
      </c>
      <c r="O49" s="17">
        <v>2.7000000000000001E-3</v>
      </c>
      <c r="P49" s="17">
        <v>0.99</v>
      </c>
      <c r="Q49" s="17">
        <v>0.74</v>
      </c>
      <c r="R49" s="17">
        <v>0.96099999999999997</v>
      </c>
      <c r="S49" s="17">
        <v>0.97</v>
      </c>
      <c r="T49" s="17">
        <v>20081231</v>
      </c>
      <c r="U49" s="17">
        <v>20190731</v>
      </c>
      <c r="V49" s="17">
        <v>128</v>
      </c>
    </row>
    <row r="50" spans="1:22" hidden="1">
      <c r="A50" s="17" t="s">
        <v>1548</v>
      </c>
      <c r="B50" s="38">
        <v>4.4200000000000003E-2</v>
      </c>
      <c r="C50" s="38">
        <v>7.1800000000000003E-2</v>
      </c>
      <c r="D50" s="38">
        <v>8.43E-2</v>
      </c>
      <c r="E50" s="38">
        <v>3.7400000000000003E-2</v>
      </c>
      <c r="F50" s="38">
        <v>4.99E-2</v>
      </c>
      <c r="G50" s="38">
        <v>2.87E-2</v>
      </c>
      <c r="H50" s="38">
        <v>7.7899999999999997E-2</v>
      </c>
      <c r="I50" s="38">
        <v>3.7999999999999999E-2</v>
      </c>
      <c r="J50" s="38">
        <v>4.8300000000000003E-2</v>
      </c>
      <c r="K50" s="38">
        <v>-8.8000000000000005E-3</v>
      </c>
      <c r="L50" s="38">
        <v>3.0300000000000001E-2</v>
      </c>
      <c r="M50" s="38">
        <v>4.5999999999999999E-2</v>
      </c>
      <c r="N50" s="17">
        <v>2.5499999999999998</v>
      </c>
      <c r="O50" s="17">
        <v>3.8999999999999998E-3</v>
      </c>
      <c r="P50" s="17">
        <v>2.29</v>
      </c>
      <c r="Q50" s="17">
        <v>0.85</v>
      </c>
      <c r="R50" s="17">
        <v>0.55200000000000005</v>
      </c>
      <c r="S50" s="17">
        <v>0.69</v>
      </c>
      <c r="T50" s="17">
        <v>20081231</v>
      </c>
      <c r="U50" s="17">
        <v>20190731</v>
      </c>
      <c r="V50" s="17">
        <v>128</v>
      </c>
    </row>
    <row r="51" spans="1:22" hidden="1">
      <c r="A51" s="17" t="s">
        <v>1513</v>
      </c>
      <c r="B51" s="38">
        <v>5.5100000000000003E-2</v>
      </c>
      <c r="C51" s="38">
        <v>3.1E-2</v>
      </c>
      <c r="D51" s="38">
        <v>5.4800000000000001E-2</v>
      </c>
      <c r="E51" s="38">
        <v>4.8899999999999999E-2</v>
      </c>
      <c r="F51" s="38">
        <v>4.3299999999999998E-2</v>
      </c>
      <c r="G51" s="38">
        <v>6.7400000000000002E-2</v>
      </c>
      <c r="H51" s="38">
        <v>0.10730000000000001</v>
      </c>
      <c r="I51" s="38">
        <v>6.93E-2</v>
      </c>
      <c r="J51" s="38">
        <v>-3.0000000000000001E-3</v>
      </c>
      <c r="K51" s="38">
        <v>2.8999999999999998E-3</v>
      </c>
      <c r="L51" s="38">
        <v>-2.5000000000000001E-3</v>
      </c>
      <c r="M51" s="38">
        <v>4.4999999999999998E-2</v>
      </c>
      <c r="N51" s="17">
        <v>1.88</v>
      </c>
      <c r="O51" s="17">
        <v>3.7000000000000002E-3</v>
      </c>
      <c r="P51" s="17">
        <v>1.34</v>
      </c>
      <c r="Q51" s="17">
        <v>1.0900000000000001</v>
      </c>
      <c r="R51" s="17">
        <v>0.93100000000000005</v>
      </c>
      <c r="S51" s="17">
        <v>0.55000000000000004</v>
      </c>
      <c r="T51" s="17">
        <v>20081231</v>
      </c>
      <c r="U51" s="17">
        <v>20190731</v>
      </c>
      <c r="V51" s="17">
        <v>128</v>
      </c>
    </row>
    <row r="52" spans="1:22">
      <c r="A52" s="17" t="s">
        <v>1567</v>
      </c>
      <c r="B52" s="38">
        <v>4.4900000000000002E-2</v>
      </c>
      <c r="C52" s="38">
        <v>1.32E-2</v>
      </c>
      <c r="D52" s="38">
        <v>6.7299999999999999E-2</v>
      </c>
      <c r="E52" s="38">
        <v>4.7E-2</v>
      </c>
      <c r="F52" s="38">
        <v>4.9399999999999999E-2</v>
      </c>
      <c r="G52" s="38">
        <v>0.10879999999999999</v>
      </c>
      <c r="H52" s="38">
        <v>8.2000000000000003E-2</v>
      </c>
      <c r="I52" s="38">
        <v>0.1467</v>
      </c>
      <c r="J52" s="38">
        <v>2.1499999999999998E-2</v>
      </c>
      <c r="K52" s="38">
        <v>3.61E-2</v>
      </c>
      <c r="L52" s="38">
        <v>7.9000000000000008E-3</v>
      </c>
      <c r="M52" s="38">
        <v>5.8000000000000003E-2</v>
      </c>
      <c r="N52" s="17">
        <v>1.89</v>
      </c>
      <c r="O52" s="17">
        <v>3.5000000000000001E-3</v>
      </c>
      <c r="P52" s="17">
        <v>1.1100000000000001</v>
      </c>
      <c r="Q52" s="17">
        <v>1</v>
      </c>
      <c r="R52" s="17">
        <v>0.96299999999999997</v>
      </c>
      <c r="S52" s="17">
        <v>0.85</v>
      </c>
      <c r="T52" s="17">
        <v>20081231</v>
      </c>
      <c r="U52" s="17">
        <v>20190731</v>
      </c>
      <c r="V52" s="17">
        <v>128</v>
      </c>
    </row>
    <row r="53" spans="1:22" hidden="1">
      <c r="A53" s="17" t="s">
        <v>1605</v>
      </c>
      <c r="B53" s="38">
        <v>7.9699999999999993E-2</v>
      </c>
      <c r="C53" s="38">
        <v>2.2800000000000001E-2</v>
      </c>
      <c r="D53" s="38">
        <v>6.2399999999999997E-2</v>
      </c>
      <c r="E53" s="38">
        <v>7.0499999999999993E-2</v>
      </c>
      <c r="F53" s="38">
        <v>2.92E-2</v>
      </c>
      <c r="G53" s="38">
        <v>2.9100000000000001E-2</v>
      </c>
      <c r="H53" s="38">
        <v>0.15740000000000001</v>
      </c>
      <c r="I53" s="38">
        <v>7.1599999999999997E-2</v>
      </c>
      <c r="J53" s="38">
        <v>-2.93E-2</v>
      </c>
      <c r="K53" s="38">
        <v>-1.72E-2</v>
      </c>
      <c r="L53" s="38">
        <v>-2.5000000000000001E-3</v>
      </c>
      <c r="M53" s="38">
        <v>4.3999999999999997E-2</v>
      </c>
      <c r="N53" s="17">
        <v>1.46</v>
      </c>
      <c r="O53" s="17">
        <v>2.8999999999999998E-3</v>
      </c>
      <c r="P53" s="17">
        <v>0.94</v>
      </c>
      <c r="Q53" s="17">
        <v>0.71</v>
      </c>
      <c r="R53" s="17">
        <v>0.999</v>
      </c>
      <c r="S53" s="17">
        <v>0.72</v>
      </c>
      <c r="T53" s="17">
        <v>20081231</v>
      </c>
      <c r="U53" s="17">
        <v>20190731</v>
      </c>
      <c r="V53" s="17">
        <v>128</v>
      </c>
    </row>
    <row r="54" spans="1:22">
      <c r="A54" s="17" t="s">
        <v>1568</v>
      </c>
      <c r="B54" s="38">
        <v>4.4600000000000001E-2</v>
      </c>
      <c r="C54" s="38">
        <v>1.6299999999999999E-2</v>
      </c>
      <c r="D54" s="38">
        <v>5.8000000000000003E-2</v>
      </c>
      <c r="E54" s="38">
        <v>3.6799999999999999E-2</v>
      </c>
      <c r="F54" s="38">
        <v>5.7799999999999997E-2</v>
      </c>
      <c r="G54" s="38">
        <v>0.105</v>
      </c>
      <c r="H54" s="38">
        <v>5.9900000000000002E-2</v>
      </c>
      <c r="I54" s="38">
        <v>0.1308</v>
      </c>
      <c r="J54" s="38">
        <v>1.61E-2</v>
      </c>
      <c r="K54" s="38">
        <v>3.0700000000000002E-2</v>
      </c>
      <c r="L54" s="38">
        <v>4.1000000000000003E-3</v>
      </c>
      <c r="M54" s="38">
        <v>5.1999999999999998E-2</v>
      </c>
      <c r="N54" s="17">
        <v>1.76</v>
      </c>
      <c r="O54" s="17">
        <v>3.2000000000000002E-3</v>
      </c>
      <c r="P54" s="17">
        <v>1.03</v>
      </c>
      <c r="Q54" s="17">
        <v>0.9</v>
      </c>
      <c r="R54" s="17">
        <v>0.96299999999999997</v>
      </c>
      <c r="S54" s="17">
        <v>0.93</v>
      </c>
      <c r="T54" s="17">
        <v>20081231</v>
      </c>
      <c r="U54" s="17">
        <v>20190731</v>
      </c>
      <c r="V54" s="17">
        <v>128</v>
      </c>
    </row>
    <row r="55" spans="1:22" hidden="1">
      <c r="A55" s="17" t="s">
        <v>1557</v>
      </c>
      <c r="B55" s="38">
        <v>7.5700000000000003E-2</v>
      </c>
      <c r="C55" s="38">
        <v>2.7699999999999999E-2</v>
      </c>
      <c r="D55" s="38">
        <v>3.8600000000000002E-2</v>
      </c>
      <c r="E55" s="38">
        <v>2.52E-2</v>
      </c>
      <c r="F55" s="38">
        <v>3.6799999999999999E-2</v>
      </c>
      <c r="G55" s="38">
        <v>6.7699999999999996E-2</v>
      </c>
      <c r="H55" s="38">
        <v>5.67E-2</v>
      </c>
      <c r="I55" s="38">
        <v>9.2600000000000002E-2</v>
      </c>
      <c r="J55" s="38">
        <v>9.1999999999999998E-3</v>
      </c>
      <c r="K55" s="38">
        <v>1.6400000000000001E-2</v>
      </c>
      <c r="L55" s="38">
        <v>2.2100000000000002E-2</v>
      </c>
      <c r="M55" s="38">
        <v>4.2999999999999997E-2</v>
      </c>
      <c r="N55" s="17">
        <v>2.14</v>
      </c>
      <c r="O55" s="17">
        <v>4.1999999999999997E-3</v>
      </c>
      <c r="P55" s="17">
        <v>1.95</v>
      </c>
      <c r="Q55" s="17">
        <v>1.04</v>
      </c>
      <c r="R55" s="17">
        <v>0.96299999999999997</v>
      </c>
      <c r="S55" s="17">
        <v>0.97</v>
      </c>
      <c r="T55" s="17">
        <v>20081231</v>
      </c>
      <c r="U55" s="17">
        <v>20190731</v>
      </c>
      <c r="V55" s="17">
        <v>128</v>
      </c>
    </row>
    <row r="56" spans="1:22" hidden="1">
      <c r="A56" s="17" t="s">
        <v>1562</v>
      </c>
      <c r="B56" s="38">
        <v>7.5499999999999998E-2</v>
      </c>
      <c r="C56" s="38">
        <v>2.7699999999999999E-2</v>
      </c>
      <c r="D56" s="38">
        <v>3.8600000000000002E-2</v>
      </c>
      <c r="E56" s="38">
        <v>2.5000000000000001E-2</v>
      </c>
      <c r="F56" s="38">
        <v>3.6700000000000003E-2</v>
      </c>
      <c r="G56" s="38">
        <v>6.7599999999999993E-2</v>
      </c>
      <c r="H56" s="38">
        <v>5.6599999999999998E-2</v>
      </c>
      <c r="I56" s="38">
        <v>9.2399999999999996E-2</v>
      </c>
      <c r="J56" s="38">
        <v>9.1999999999999998E-3</v>
      </c>
      <c r="K56" s="38">
        <v>1.6400000000000001E-2</v>
      </c>
      <c r="L56" s="38">
        <v>2.1999999999999999E-2</v>
      </c>
      <c r="M56" s="38">
        <v>4.2999999999999997E-2</v>
      </c>
      <c r="N56" s="17">
        <v>2.13</v>
      </c>
      <c r="O56" s="17">
        <v>4.1999999999999997E-3</v>
      </c>
      <c r="P56" s="17">
        <v>1.94</v>
      </c>
      <c r="Q56" s="17">
        <v>1.04</v>
      </c>
      <c r="R56" s="17">
        <v>0.96299999999999997</v>
      </c>
      <c r="S56" s="17">
        <v>0.97</v>
      </c>
      <c r="T56" s="17">
        <v>20081231</v>
      </c>
      <c r="U56" s="17">
        <v>20190731</v>
      </c>
      <c r="V56" s="17">
        <v>128</v>
      </c>
    </row>
    <row r="57" spans="1:22" hidden="1">
      <c r="A57" s="17" t="s">
        <v>1515</v>
      </c>
      <c r="B57" s="38">
        <v>4.1500000000000002E-2</v>
      </c>
      <c r="C57" s="38">
        <v>4.19E-2</v>
      </c>
      <c r="D57" s="38">
        <v>4.1399999999999999E-2</v>
      </c>
      <c r="E57" s="38">
        <v>4.4200000000000003E-2</v>
      </c>
      <c r="F57" s="38">
        <v>5.2999999999999999E-2</v>
      </c>
      <c r="G57" s="38">
        <v>5.5800000000000002E-2</v>
      </c>
      <c r="H57" s="38">
        <v>7.0199999999999999E-2</v>
      </c>
      <c r="I57" s="38">
        <v>6.5699999999999995E-2</v>
      </c>
      <c r="J57" s="38">
        <v>1.14E-2</v>
      </c>
      <c r="K57" s="38">
        <v>1.43E-2</v>
      </c>
      <c r="L57" s="38">
        <v>1.1599999999999999E-2</v>
      </c>
      <c r="M57" s="38">
        <v>4.2000000000000003E-2</v>
      </c>
      <c r="N57" s="17">
        <v>1.93</v>
      </c>
      <c r="O57" s="17">
        <v>3.2000000000000002E-3</v>
      </c>
      <c r="P57" s="17">
        <v>1.26</v>
      </c>
      <c r="Q57" s="17">
        <v>1.01</v>
      </c>
      <c r="R57" s="17">
        <v>0.93100000000000005</v>
      </c>
      <c r="S57" s="17">
        <v>0.55000000000000004</v>
      </c>
      <c r="T57" s="17">
        <v>20081231</v>
      </c>
      <c r="U57" s="17">
        <v>20190731</v>
      </c>
      <c r="V57" s="17">
        <v>128</v>
      </c>
    </row>
    <row r="58" spans="1:22" hidden="1">
      <c r="A58" s="17" t="s">
        <v>1607</v>
      </c>
      <c r="B58" s="38">
        <v>6.8500000000000005E-2</v>
      </c>
      <c r="C58" s="38">
        <v>1.84E-2</v>
      </c>
      <c r="D58" s="38">
        <v>6.2899999999999998E-2</v>
      </c>
      <c r="E58" s="38">
        <v>5.5199999999999999E-2</v>
      </c>
      <c r="F58" s="38">
        <v>3.2899999999999999E-2</v>
      </c>
      <c r="G58" s="38">
        <v>3.3500000000000002E-2</v>
      </c>
      <c r="H58" s="38">
        <v>0.13800000000000001</v>
      </c>
      <c r="I58" s="38">
        <v>6.4500000000000002E-2</v>
      </c>
      <c r="J58" s="38">
        <v>-1.44E-2</v>
      </c>
      <c r="K58" s="38">
        <v>-1.15E-2</v>
      </c>
      <c r="L58" s="38">
        <v>6.4000000000000003E-3</v>
      </c>
      <c r="M58" s="38">
        <v>4.2000000000000003E-2</v>
      </c>
      <c r="N58" s="17">
        <v>1.64</v>
      </c>
      <c r="O58" s="17">
        <v>3.0000000000000001E-3</v>
      </c>
      <c r="P58" s="17">
        <v>1.1200000000000001</v>
      </c>
      <c r="Q58" s="17">
        <v>0.8</v>
      </c>
      <c r="R58" s="17">
        <v>0.999</v>
      </c>
      <c r="S58" s="17">
        <v>0.74</v>
      </c>
      <c r="T58" s="17">
        <v>20081231</v>
      </c>
      <c r="U58" s="17">
        <v>20190731</v>
      </c>
      <c r="V58" s="17">
        <v>128</v>
      </c>
    </row>
    <row r="59" spans="1:22" hidden="1">
      <c r="A59" s="17" t="s">
        <v>1542</v>
      </c>
      <c r="B59" s="38">
        <v>7.5999999999999998E-2</v>
      </c>
      <c r="C59" s="38">
        <v>1.5900000000000001E-2</v>
      </c>
      <c r="D59" s="38">
        <v>4.4600000000000001E-2</v>
      </c>
      <c r="E59" s="38">
        <v>4.7E-2</v>
      </c>
      <c r="F59" s="38">
        <v>3.1300000000000001E-2</v>
      </c>
      <c r="G59" s="38">
        <v>7.0400000000000004E-2</v>
      </c>
      <c r="H59" s="38">
        <v>0.16919999999999999</v>
      </c>
      <c r="I59" s="38">
        <v>4.4499999999999998E-2</v>
      </c>
      <c r="J59" s="38">
        <v>-3.2000000000000001E-2</v>
      </c>
      <c r="K59" s="38">
        <v>-1.9900000000000001E-2</v>
      </c>
      <c r="L59" s="38">
        <v>-5.0000000000000001E-4</v>
      </c>
      <c r="M59" s="38">
        <v>4.2000000000000003E-2</v>
      </c>
      <c r="N59" s="17">
        <v>1.33</v>
      </c>
      <c r="O59" s="17">
        <v>3.2000000000000002E-3</v>
      </c>
      <c r="P59" s="17">
        <v>0.93</v>
      </c>
      <c r="Q59" s="17">
        <v>0.75</v>
      </c>
      <c r="R59" s="17">
        <v>0.96299999999999997</v>
      </c>
      <c r="S59" s="17">
        <v>0.63</v>
      </c>
      <c r="T59" s="17">
        <v>20081231</v>
      </c>
      <c r="U59" s="17">
        <v>20190731</v>
      </c>
      <c r="V59" s="17">
        <v>128</v>
      </c>
    </row>
    <row r="60" spans="1:22" hidden="1">
      <c r="A60" s="17" t="s">
        <v>1551</v>
      </c>
      <c r="B60" s="38">
        <v>6.7900000000000002E-2</v>
      </c>
      <c r="C60" s="38">
        <v>4.3299999999999998E-2</v>
      </c>
      <c r="D60" s="38">
        <v>6.4399999999999999E-2</v>
      </c>
      <c r="E60" s="38">
        <v>5.3199999999999997E-2</v>
      </c>
      <c r="F60" s="38">
        <v>3.3000000000000002E-2</v>
      </c>
      <c r="G60" s="38">
        <v>2.9499999999999998E-2</v>
      </c>
      <c r="H60" s="38">
        <v>9.9199999999999997E-2</v>
      </c>
      <c r="I60" s="38">
        <v>3.4099999999999998E-2</v>
      </c>
      <c r="J60" s="38">
        <v>1.14E-2</v>
      </c>
      <c r="K60" s="38">
        <v>-1.29E-2</v>
      </c>
      <c r="L60" s="38">
        <v>2.9399999999999999E-2</v>
      </c>
      <c r="M60" s="38">
        <v>4.2000000000000003E-2</v>
      </c>
      <c r="N60" s="17">
        <v>1.95</v>
      </c>
      <c r="O60" s="17">
        <v>3.5999999999999999E-3</v>
      </c>
      <c r="P60" s="17">
        <v>1.42</v>
      </c>
      <c r="Q60" s="17">
        <v>0.79</v>
      </c>
      <c r="R60" s="17">
        <v>0.68899999999999995</v>
      </c>
      <c r="S60" s="17">
        <v>0.68</v>
      </c>
      <c r="T60" s="17">
        <v>20081231</v>
      </c>
      <c r="U60" s="17">
        <v>20190731</v>
      </c>
      <c r="V60" s="17">
        <v>128</v>
      </c>
    </row>
    <row r="61" spans="1:22" hidden="1">
      <c r="A61" s="17" t="s">
        <v>685</v>
      </c>
      <c r="B61" s="38">
        <v>3.9300000000000002E-2</v>
      </c>
      <c r="C61" s="38">
        <v>6.08E-2</v>
      </c>
      <c r="D61" s="38">
        <v>7.3099999999999998E-2</v>
      </c>
      <c r="E61" s="38">
        <v>3.9899999999999998E-2</v>
      </c>
      <c r="F61" s="38">
        <v>2.2700000000000001E-2</v>
      </c>
      <c r="G61" s="38">
        <v>1.7100000000000001E-2</v>
      </c>
      <c r="H61" s="38">
        <v>7.0300000000000001E-2</v>
      </c>
      <c r="I61" s="38">
        <v>4.2200000000000001E-2</v>
      </c>
      <c r="J61" s="38">
        <v>4.5699999999999998E-2</v>
      </c>
      <c r="K61" s="38">
        <v>-3.2000000000000002E-3</v>
      </c>
      <c r="L61" s="38">
        <v>4.4600000000000001E-2</v>
      </c>
      <c r="M61" s="38">
        <v>4.1000000000000002E-2</v>
      </c>
      <c r="N61" s="17">
        <v>2.5499999999999998</v>
      </c>
      <c r="O61" s="17">
        <v>3.3999999999999998E-3</v>
      </c>
      <c r="P61" s="17">
        <v>2.13</v>
      </c>
      <c r="Q61" s="17">
        <v>0.93</v>
      </c>
      <c r="R61" s="17">
        <v>0.89500000000000002</v>
      </c>
      <c r="S61" s="17">
        <v>0.69</v>
      </c>
      <c r="T61" s="17">
        <v>20081231</v>
      </c>
      <c r="U61" s="17">
        <v>20190731</v>
      </c>
      <c r="V61" s="17">
        <v>128</v>
      </c>
    </row>
    <row r="62" spans="1:22" hidden="1">
      <c r="A62" s="17" t="s">
        <v>1775</v>
      </c>
      <c r="B62" s="38">
        <v>7.8100000000000003E-2</v>
      </c>
      <c r="C62" s="38">
        <v>3.0800000000000001E-2</v>
      </c>
      <c r="D62" s="38">
        <v>7.4200000000000002E-2</v>
      </c>
      <c r="E62" s="38">
        <v>4.1700000000000001E-2</v>
      </c>
      <c r="F62" s="38">
        <v>4.4999999999999997E-3</v>
      </c>
      <c r="G62" s="38">
        <v>2.5000000000000001E-2</v>
      </c>
      <c r="H62" s="38">
        <v>9.2799999999999994E-2</v>
      </c>
      <c r="I62" s="38">
        <v>6.3700000000000007E-2</v>
      </c>
      <c r="J62" s="38">
        <v>1.2500000000000001E-2</v>
      </c>
      <c r="K62" s="38">
        <v>-1.7100000000000001E-2</v>
      </c>
      <c r="L62" s="38">
        <v>5.1299999999999998E-2</v>
      </c>
      <c r="M62" s="38">
        <v>4.1000000000000002E-2</v>
      </c>
      <c r="N62" s="17">
        <v>1.69</v>
      </c>
      <c r="O62" s="17">
        <v>3.0999999999999999E-3</v>
      </c>
      <c r="P62" s="17">
        <v>1.18</v>
      </c>
      <c r="Q62" s="17">
        <v>0.56000000000000005</v>
      </c>
      <c r="R62" s="17">
        <v>0.39900000000000002</v>
      </c>
      <c r="S62" s="17">
        <v>0.62</v>
      </c>
      <c r="T62" s="17">
        <v>20081231</v>
      </c>
      <c r="U62" s="17">
        <v>20190731</v>
      </c>
      <c r="V62" s="17">
        <v>128</v>
      </c>
    </row>
    <row r="63" spans="1:22" hidden="1">
      <c r="A63" s="17" t="s">
        <v>1514</v>
      </c>
      <c r="B63" s="38">
        <v>7.1999999999999995E-2</v>
      </c>
      <c r="C63" s="38">
        <v>5.6800000000000003E-2</v>
      </c>
      <c r="D63" s="38">
        <v>4.4499999999999998E-2</v>
      </c>
      <c r="E63" s="38">
        <v>3.56E-2</v>
      </c>
      <c r="F63" s="38">
        <v>2.9899999999999999E-2</v>
      </c>
      <c r="G63" s="38">
        <v>4.4699999999999997E-2</v>
      </c>
      <c r="H63" s="38">
        <v>9.6699999999999994E-2</v>
      </c>
      <c r="I63" s="38">
        <v>2.1700000000000001E-2</v>
      </c>
      <c r="J63" s="38">
        <v>2.2800000000000001E-2</v>
      </c>
      <c r="K63" s="38">
        <v>-9.7999999999999997E-3</v>
      </c>
      <c r="L63" s="38">
        <v>1.03E-2</v>
      </c>
      <c r="M63" s="38">
        <v>0.04</v>
      </c>
      <c r="N63" s="17">
        <v>1.75</v>
      </c>
      <c r="O63" s="17">
        <v>3.5999999999999999E-3</v>
      </c>
      <c r="P63" s="17">
        <v>1.43</v>
      </c>
      <c r="Q63" s="17">
        <v>0.96</v>
      </c>
      <c r="R63" s="17">
        <v>0.93899999999999995</v>
      </c>
      <c r="S63" s="17">
        <v>0.12</v>
      </c>
      <c r="T63" s="17">
        <v>20081231</v>
      </c>
      <c r="U63" s="17">
        <v>20190731</v>
      </c>
      <c r="V63" s="17">
        <v>128</v>
      </c>
    </row>
    <row r="64" spans="1:22" hidden="1">
      <c r="A64" s="17" t="s">
        <v>1535</v>
      </c>
      <c r="B64" s="38">
        <v>7.0900000000000005E-2</v>
      </c>
      <c r="C64" s="38">
        <v>1.7399999999999999E-2</v>
      </c>
      <c r="D64" s="38">
        <v>5.2499999999999998E-2</v>
      </c>
      <c r="E64" s="38">
        <v>6.7799999999999999E-2</v>
      </c>
      <c r="F64" s="38">
        <v>2.5899999999999999E-2</v>
      </c>
      <c r="G64" s="38">
        <v>3.9100000000000003E-2</v>
      </c>
      <c r="H64" s="38">
        <v>0.15490000000000001</v>
      </c>
      <c r="I64" s="38">
        <v>6.5299999999999997E-2</v>
      </c>
      <c r="J64" s="38">
        <v>-4.7199999999999999E-2</v>
      </c>
      <c r="K64" s="38">
        <v>-1.8800000000000001E-2</v>
      </c>
      <c r="L64" s="38">
        <v>-6.7999999999999996E-3</v>
      </c>
      <c r="M64" s="38">
        <v>0.04</v>
      </c>
      <c r="N64" s="17">
        <v>1.28</v>
      </c>
      <c r="O64" s="17">
        <v>2.5000000000000001E-3</v>
      </c>
      <c r="P64" s="17">
        <v>0.81</v>
      </c>
      <c r="Q64" s="17">
        <v>0.57999999999999996</v>
      </c>
      <c r="R64" s="17">
        <v>0.999</v>
      </c>
      <c r="S64" s="17">
        <v>0.73</v>
      </c>
      <c r="T64" s="17">
        <v>20081231</v>
      </c>
      <c r="U64" s="17">
        <v>20190731</v>
      </c>
      <c r="V64" s="17">
        <v>128</v>
      </c>
    </row>
    <row r="65" spans="1:22" hidden="1">
      <c r="A65" s="17" t="s">
        <v>1510</v>
      </c>
      <c r="B65" s="38">
        <v>0.04</v>
      </c>
      <c r="C65" s="38">
        <v>2.4E-2</v>
      </c>
      <c r="D65" s="38">
        <v>4.3099999999999999E-2</v>
      </c>
      <c r="E65" s="38">
        <v>4.1599999999999998E-2</v>
      </c>
      <c r="F65" s="38">
        <v>2.3199999999999998E-2</v>
      </c>
      <c r="G65" s="38">
        <v>6.2399999999999997E-2</v>
      </c>
      <c r="H65" s="38">
        <v>3.7199999999999997E-2</v>
      </c>
      <c r="I65" s="38">
        <v>9.3399999999999997E-2</v>
      </c>
      <c r="J65" s="38">
        <v>2.5999999999999999E-2</v>
      </c>
      <c r="K65" s="38">
        <v>2.6700000000000002E-2</v>
      </c>
      <c r="L65" s="38">
        <v>-8.9999999999999998E-4</v>
      </c>
      <c r="M65" s="38">
        <v>3.9E-2</v>
      </c>
      <c r="N65" s="17">
        <v>1.88</v>
      </c>
      <c r="O65" s="17">
        <v>1.6000000000000001E-3</v>
      </c>
      <c r="P65" s="17">
        <v>0.82</v>
      </c>
      <c r="Q65" s="17">
        <v>0.57999999999999996</v>
      </c>
      <c r="R65" s="17">
        <v>0.97899999999999998</v>
      </c>
      <c r="S65" s="17">
        <v>0.56000000000000005</v>
      </c>
      <c r="T65" s="17">
        <v>20081231</v>
      </c>
      <c r="U65" s="17">
        <v>20190731</v>
      </c>
      <c r="V65" s="17">
        <v>128</v>
      </c>
    </row>
    <row r="66" spans="1:22" hidden="1">
      <c r="A66" s="17" t="s">
        <v>1553</v>
      </c>
      <c r="B66" s="38">
        <v>7.5399999999999995E-2</v>
      </c>
      <c r="C66" s="38">
        <v>2.8500000000000001E-2</v>
      </c>
      <c r="D66" s="38">
        <v>3.5799999999999998E-2</v>
      </c>
      <c r="E66" s="38">
        <v>1.2999999999999999E-2</v>
      </c>
      <c r="F66" s="38">
        <v>3.4500000000000003E-2</v>
      </c>
      <c r="G66" s="38">
        <v>6.0100000000000001E-2</v>
      </c>
      <c r="H66" s="38">
        <v>6.2899999999999998E-2</v>
      </c>
      <c r="I66" s="38">
        <v>8.5000000000000006E-2</v>
      </c>
      <c r="J66" s="38">
        <v>-7.4000000000000003E-3</v>
      </c>
      <c r="K66" s="38">
        <v>2.2200000000000001E-2</v>
      </c>
      <c r="L66" s="38">
        <v>1.7000000000000001E-2</v>
      </c>
      <c r="M66" s="38">
        <v>3.9E-2</v>
      </c>
      <c r="N66" s="17">
        <v>2.06</v>
      </c>
      <c r="O66" s="17">
        <v>3.8E-3</v>
      </c>
      <c r="P66" s="17">
        <v>1.87</v>
      </c>
      <c r="Q66" s="17">
        <v>0.89</v>
      </c>
      <c r="R66" s="17">
        <v>0.97</v>
      </c>
      <c r="S66" s="17">
        <v>0.98</v>
      </c>
      <c r="T66" s="17">
        <v>20081231</v>
      </c>
      <c r="U66" s="17">
        <v>20190731</v>
      </c>
      <c r="V66" s="17">
        <v>128</v>
      </c>
    </row>
    <row r="67" spans="1:22" hidden="1">
      <c r="A67" s="17" t="s">
        <v>1558</v>
      </c>
      <c r="B67" s="38">
        <v>7.5300000000000006E-2</v>
      </c>
      <c r="C67" s="38">
        <v>2.8500000000000001E-2</v>
      </c>
      <c r="D67" s="38">
        <v>3.5700000000000003E-2</v>
      </c>
      <c r="E67" s="38">
        <v>1.29E-2</v>
      </c>
      <c r="F67" s="38">
        <v>3.44E-2</v>
      </c>
      <c r="G67" s="38">
        <v>6.0100000000000001E-2</v>
      </c>
      <c r="H67" s="38">
        <v>6.2700000000000006E-2</v>
      </c>
      <c r="I67" s="38">
        <v>8.4900000000000003E-2</v>
      </c>
      <c r="J67" s="38">
        <v>-7.4000000000000003E-3</v>
      </c>
      <c r="K67" s="38">
        <v>2.2200000000000001E-2</v>
      </c>
      <c r="L67" s="38">
        <v>1.6899999999999998E-2</v>
      </c>
      <c r="M67" s="38">
        <v>3.9E-2</v>
      </c>
      <c r="N67" s="17">
        <v>2.0499999999999998</v>
      </c>
      <c r="O67" s="17">
        <v>3.8E-3</v>
      </c>
      <c r="P67" s="17">
        <v>1.87</v>
      </c>
      <c r="Q67" s="17">
        <v>0.89</v>
      </c>
      <c r="R67" s="17">
        <v>0.97</v>
      </c>
      <c r="S67" s="17">
        <v>0.98</v>
      </c>
      <c r="T67" s="17">
        <v>20081231</v>
      </c>
      <c r="U67" s="17">
        <v>20190731</v>
      </c>
      <c r="V67" s="17">
        <v>128</v>
      </c>
    </row>
    <row r="68" spans="1:22" hidden="1">
      <c r="A68" s="17" t="s">
        <v>673</v>
      </c>
      <c r="B68" s="38">
        <v>4.9200000000000001E-2</v>
      </c>
      <c r="C68" s="38">
        <v>5.3199999999999997E-2</v>
      </c>
      <c r="D68" s="38">
        <v>6.9699999999999998E-2</v>
      </c>
      <c r="E68" s="38">
        <v>3.1099999999999999E-2</v>
      </c>
      <c r="F68" s="38">
        <v>3.56E-2</v>
      </c>
      <c r="G68" s="38">
        <v>2.2599999999999999E-2</v>
      </c>
      <c r="H68" s="38">
        <v>7.6700000000000004E-2</v>
      </c>
      <c r="I68" s="38">
        <v>3.8399999999999997E-2</v>
      </c>
      <c r="J68" s="38">
        <v>3.8600000000000002E-2</v>
      </c>
      <c r="K68" s="38">
        <v>-1.06E-2</v>
      </c>
      <c r="L68" s="38">
        <v>-2.2000000000000001E-3</v>
      </c>
      <c r="M68" s="38">
        <v>3.7999999999999999E-2</v>
      </c>
      <c r="N68" s="17">
        <v>2.31</v>
      </c>
      <c r="O68" s="17">
        <v>3.5999999999999999E-3</v>
      </c>
      <c r="P68" s="17">
        <v>2.11</v>
      </c>
      <c r="Q68" s="17">
        <v>0.98</v>
      </c>
      <c r="R68" s="17">
        <v>0.84899999999999998</v>
      </c>
      <c r="S68" s="17">
        <v>0.75</v>
      </c>
      <c r="T68" s="17">
        <v>20081231</v>
      </c>
      <c r="U68" s="17">
        <v>20190731</v>
      </c>
      <c r="V68" s="17">
        <v>128</v>
      </c>
    </row>
    <row r="69" spans="1:22" hidden="1">
      <c r="A69" s="17" t="s">
        <v>1549</v>
      </c>
      <c r="B69" s="38">
        <v>3.2000000000000001E-2</v>
      </c>
      <c r="C69" s="38">
        <v>6.6000000000000003E-2</v>
      </c>
      <c r="D69" s="38">
        <v>6.8500000000000005E-2</v>
      </c>
      <c r="E69" s="38">
        <v>3.1800000000000002E-2</v>
      </c>
      <c r="F69" s="38">
        <v>3.5799999999999998E-2</v>
      </c>
      <c r="G69" s="38">
        <v>2.06E-2</v>
      </c>
      <c r="H69" s="38">
        <v>5.67E-2</v>
      </c>
      <c r="I69" s="38">
        <v>2.93E-2</v>
      </c>
      <c r="J69" s="38">
        <v>5.6300000000000003E-2</v>
      </c>
      <c r="K69" s="38">
        <v>-2.5000000000000001E-3</v>
      </c>
      <c r="L69" s="38">
        <v>2.2100000000000002E-2</v>
      </c>
      <c r="M69" s="38">
        <v>3.7999999999999999E-2</v>
      </c>
      <c r="N69" s="17">
        <v>2.12</v>
      </c>
      <c r="O69" s="17">
        <v>3.0999999999999999E-3</v>
      </c>
      <c r="P69" s="17">
        <v>1.87</v>
      </c>
      <c r="Q69" s="17">
        <v>0.71</v>
      </c>
      <c r="R69" s="17">
        <v>0.55700000000000005</v>
      </c>
      <c r="S69" s="17">
        <v>0.7</v>
      </c>
      <c r="T69" s="17">
        <v>20081231</v>
      </c>
      <c r="U69" s="17">
        <v>20190731</v>
      </c>
      <c r="V69" s="17">
        <v>128</v>
      </c>
    </row>
    <row r="70" spans="1:22" hidden="1">
      <c r="A70" s="17" t="s">
        <v>1532</v>
      </c>
      <c r="B70" s="38">
        <v>6.25E-2</v>
      </c>
      <c r="C70" s="38">
        <v>3.3000000000000002E-2</v>
      </c>
      <c r="D70" s="38">
        <v>1.04E-2</v>
      </c>
      <c r="E70" s="38">
        <v>5.67E-2</v>
      </c>
      <c r="F70" s="38">
        <v>3.7499999999999999E-2</v>
      </c>
      <c r="G70" s="38">
        <v>4.3099999999999999E-2</v>
      </c>
      <c r="H70" s="38">
        <v>0.1095</v>
      </c>
      <c r="I70" s="38">
        <v>3.3099999999999997E-2</v>
      </c>
      <c r="J70" s="38">
        <v>-4.0000000000000001E-3</v>
      </c>
      <c r="K70" s="38">
        <v>-8.3000000000000001E-3</v>
      </c>
      <c r="L70" s="38">
        <v>3.8699999999999998E-2</v>
      </c>
      <c r="M70" s="38">
        <v>3.6999999999999998E-2</v>
      </c>
      <c r="N70" s="17">
        <v>1.57</v>
      </c>
      <c r="O70" s="17">
        <v>2.8999999999999998E-3</v>
      </c>
      <c r="P70" s="17">
        <v>1.1499999999999999</v>
      </c>
      <c r="Q70" s="17">
        <v>0.8</v>
      </c>
      <c r="R70" s="17">
        <v>0.96699999999999997</v>
      </c>
      <c r="S70" s="17">
        <v>0.28000000000000003</v>
      </c>
      <c r="T70" s="17">
        <v>20081231</v>
      </c>
      <c r="U70" s="17">
        <v>20190731</v>
      </c>
      <c r="V70" s="17">
        <v>128</v>
      </c>
    </row>
    <row r="71" spans="1:22">
      <c r="A71" s="17" t="s">
        <v>1575</v>
      </c>
      <c r="B71" s="38">
        <v>-4.1000000000000003E-3</v>
      </c>
      <c r="C71" s="38">
        <v>3.09E-2</v>
      </c>
      <c r="D71" s="38">
        <v>1.44E-2</v>
      </c>
      <c r="E71" s="38">
        <v>1.6500000000000001E-2</v>
      </c>
      <c r="F71" s="38">
        <v>4.3099999999999999E-2</v>
      </c>
      <c r="G71" s="38">
        <v>-4.7100000000000003E-2</v>
      </c>
      <c r="H71" s="38">
        <v>3.09E-2</v>
      </c>
      <c r="I71" s="38">
        <v>7.6E-3</v>
      </c>
      <c r="J71" s="38">
        <v>6.0600000000000001E-2</v>
      </c>
      <c r="K71" s="38">
        <v>4.5499999999999999E-2</v>
      </c>
      <c r="L71" s="38">
        <v>6.0100000000000001E-2</v>
      </c>
      <c r="M71" s="38">
        <v>2.1999999999999999E-2</v>
      </c>
      <c r="N71" s="17">
        <v>0.82</v>
      </c>
      <c r="O71" s="17">
        <v>1.4E-3</v>
      </c>
      <c r="P71" s="17">
        <v>0.67</v>
      </c>
      <c r="Q71" s="17">
        <v>0.72</v>
      </c>
      <c r="R71" s="17">
        <v>0.97</v>
      </c>
      <c r="S71" s="17">
        <v>0.98</v>
      </c>
      <c r="T71" s="17">
        <v>20081231</v>
      </c>
      <c r="U71" s="17">
        <v>20190731</v>
      </c>
      <c r="V71" s="17">
        <v>128</v>
      </c>
    </row>
    <row r="72" spans="1:22" hidden="1">
      <c r="A72" s="17" t="s">
        <v>1533</v>
      </c>
      <c r="B72" s="38">
        <v>4.2999999999999997E-2</v>
      </c>
      <c r="C72" s="38">
        <v>4.0099999999999997E-2</v>
      </c>
      <c r="D72" s="38">
        <v>3.3000000000000002E-2</v>
      </c>
      <c r="E72" s="38">
        <v>4.7399999999999998E-2</v>
      </c>
      <c r="F72" s="38">
        <v>2.5100000000000001E-2</v>
      </c>
      <c r="G72" s="38">
        <v>3.4500000000000003E-2</v>
      </c>
      <c r="H72" s="38">
        <v>9.7900000000000001E-2</v>
      </c>
      <c r="I72" s="38">
        <v>2.9100000000000001E-2</v>
      </c>
      <c r="J72" s="38">
        <v>3.8E-3</v>
      </c>
      <c r="K72" s="38">
        <v>-1.29E-2</v>
      </c>
      <c r="L72" s="38">
        <v>6.1199999999999997E-2</v>
      </c>
      <c r="M72" s="38">
        <v>3.5999999999999997E-2</v>
      </c>
      <c r="N72" s="17">
        <v>1.59</v>
      </c>
      <c r="O72" s="17">
        <v>2.8E-3</v>
      </c>
      <c r="P72" s="17">
        <v>1.1399999999999999</v>
      </c>
      <c r="Q72" s="17">
        <v>0.78</v>
      </c>
      <c r="R72" s="17">
        <v>0.96799999999999997</v>
      </c>
      <c r="S72" s="17">
        <v>0.43</v>
      </c>
      <c r="T72" s="17">
        <v>20081231</v>
      </c>
      <c r="U72" s="17">
        <v>20190731</v>
      </c>
      <c r="V72" s="17">
        <v>128</v>
      </c>
    </row>
    <row r="73" spans="1:22">
      <c r="A73" s="17" t="s">
        <v>1576</v>
      </c>
      <c r="B73" s="38">
        <v>3.2099999999999997E-2</v>
      </c>
      <c r="C73" s="38">
        <v>5.0900000000000001E-2</v>
      </c>
      <c r="D73" s="38">
        <v>4.58E-2</v>
      </c>
      <c r="E73" s="38">
        <v>4.4900000000000002E-2</v>
      </c>
      <c r="F73" s="38">
        <v>5.5500000000000001E-2</v>
      </c>
      <c r="G73" s="38">
        <v>-1.5299999999999999E-2</v>
      </c>
      <c r="H73" s="38">
        <v>5.3400000000000003E-2</v>
      </c>
      <c r="I73" s="38">
        <v>5.8799999999999998E-2</v>
      </c>
      <c r="J73" s="38">
        <v>6.1199999999999997E-2</v>
      </c>
      <c r="K73" s="38">
        <v>4.7199999999999999E-2</v>
      </c>
      <c r="L73" s="38">
        <v>5.6399999999999999E-2</v>
      </c>
      <c r="M73" s="38">
        <v>4.3999999999999997E-2</v>
      </c>
      <c r="N73" s="17">
        <v>1.8</v>
      </c>
      <c r="O73" s="17">
        <v>2E-3</v>
      </c>
      <c r="P73" s="17">
        <v>0.86</v>
      </c>
      <c r="Q73" s="17">
        <v>1.01</v>
      </c>
      <c r="R73" s="17">
        <v>0.96299999999999997</v>
      </c>
      <c r="S73" s="17">
        <v>0.69</v>
      </c>
      <c r="T73" s="17">
        <v>20081231</v>
      </c>
      <c r="U73" s="17">
        <v>20190731</v>
      </c>
      <c r="V73" s="17">
        <v>128</v>
      </c>
    </row>
    <row r="74" spans="1:22" hidden="1">
      <c r="A74" s="17" t="s">
        <v>1485</v>
      </c>
      <c r="B74" s="38">
        <v>6.9800000000000001E-2</v>
      </c>
      <c r="C74" s="38">
        <v>5.16E-2</v>
      </c>
      <c r="D74" s="38">
        <v>3.9E-2</v>
      </c>
      <c r="E74" s="38">
        <v>2.8500000000000001E-2</v>
      </c>
      <c r="F74" s="38">
        <v>3.5900000000000001E-2</v>
      </c>
      <c r="G74" s="38">
        <v>3.85E-2</v>
      </c>
      <c r="H74" s="38">
        <v>5.9799999999999999E-2</v>
      </c>
      <c r="I74" s="38">
        <v>1.3899999999999999E-2</v>
      </c>
      <c r="J74" s="38">
        <v>2.8799999999999999E-2</v>
      </c>
      <c r="K74" s="38">
        <v>-4.5999999999999999E-3</v>
      </c>
      <c r="L74" s="38">
        <v>1.09E-2</v>
      </c>
      <c r="M74" s="38">
        <v>3.5000000000000003E-2</v>
      </c>
      <c r="N74" s="17">
        <v>1.71</v>
      </c>
      <c r="O74" s="17">
        <v>3.0000000000000001E-3</v>
      </c>
      <c r="P74" s="17">
        <v>1.36</v>
      </c>
      <c r="Q74" s="17">
        <v>0.83</v>
      </c>
      <c r="R74" s="17">
        <v>0.94899999999999995</v>
      </c>
      <c r="S74" s="17">
        <v>0.13</v>
      </c>
      <c r="T74" s="17">
        <v>20081231</v>
      </c>
      <c r="U74" s="17">
        <v>20190731</v>
      </c>
      <c r="V74" s="17">
        <v>128</v>
      </c>
    </row>
    <row r="75" spans="1:22" hidden="1">
      <c r="A75" s="17" t="s">
        <v>1555</v>
      </c>
      <c r="B75" s="38">
        <v>6.25E-2</v>
      </c>
      <c r="C75" s="38">
        <v>2.5100000000000001E-2</v>
      </c>
      <c r="D75" s="38">
        <v>3.0200000000000001E-2</v>
      </c>
      <c r="E75" s="38">
        <v>-1.6999999999999999E-3</v>
      </c>
      <c r="F75" s="38">
        <v>3.4099999999999998E-2</v>
      </c>
      <c r="G75" s="38">
        <v>5.5399999999999998E-2</v>
      </c>
      <c r="H75" s="38">
        <v>5.6500000000000002E-2</v>
      </c>
      <c r="I75" s="38">
        <v>7.1900000000000006E-2</v>
      </c>
      <c r="J75" s="38">
        <v>2.3999999999999998E-3</v>
      </c>
      <c r="K75" s="38">
        <v>3.2800000000000003E-2</v>
      </c>
      <c r="L75" s="38">
        <v>1.0500000000000001E-2</v>
      </c>
      <c r="M75" s="38">
        <v>3.5000000000000003E-2</v>
      </c>
      <c r="N75" s="17">
        <v>2.2200000000000002</v>
      </c>
      <c r="O75" s="17">
        <v>3.0999999999999999E-3</v>
      </c>
      <c r="P75" s="17">
        <v>1.75</v>
      </c>
      <c r="Q75" s="17">
        <v>0.73</v>
      </c>
      <c r="R75" s="17">
        <v>0.96099999999999997</v>
      </c>
      <c r="S75" s="17">
        <v>0.99</v>
      </c>
      <c r="T75" s="17">
        <v>20081231</v>
      </c>
      <c r="U75" s="17">
        <v>20190731</v>
      </c>
      <c r="V75" s="17">
        <v>128</v>
      </c>
    </row>
    <row r="76" spans="1:22" hidden="1">
      <c r="A76" s="17" t="s">
        <v>1560</v>
      </c>
      <c r="B76" s="38">
        <v>6.2600000000000003E-2</v>
      </c>
      <c r="C76" s="38">
        <v>2.5000000000000001E-2</v>
      </c>
      <c r="D76" s="38">
        <v>3.0200000000000001E-2</v>
      </c>
      <c r="E76" s="38">
        <v>-1.6999999999999999E-3</v>
      </c>
      <c r="F76" s="38">
        <v>3.4000000000000002E-2</v>
      </c>
      <c r="G76" s="38">
        <v>5.5300000000000002E-2</v>
      </c>
      <c r="H76" s="38">
        <v>5.6500000000000002E-2</v>
      </c>
      <c r="I76" s="38">
        <v>7.1800000000000003E-2</v>
      </c>
      <c r="J76" s="38">
        <v>2.3999999999999998E-3</v>
      </c>
      <c r="K76" s="38">
        <v>3.2800000000000003E-2</v>
      </c>
      <c r="L76" s="38">
        <v>1.04E-2</v>
      </c>
      <c r="M76" s="38">
        <v>3.5000000000000003E-2</v>
      </c>
      <c r="N76" s="17">
        <v>2.21</v>
      </c>
      <c r="O76" s="17">
        <v>3.0999999999999999E-3</v>
      </c>
      <c r="P76" s="17">
        <v>1.74</v>
      </c>
      <c r="Q76" s="17">
        <v>0.73</v>
      </c>
      <c r="R76" s="17">
        <v>0.96099999999999997</v>
      </c>
      <c r="S76" s="17">
        <v>0.99</v>
      </c>
      <c r="T76" s="17">
        <v>20081231</v>
      </c>
      <c r="U76" s="17">
        <v>20190731</v>
      </c>
      <c r="V76" s="17">
        <v>128</v>
      </c>
    </row>
    <row r="77" spans="1:22" hidden="1">
      <c r="A77" s="17" t="s">
        <v>1484</v>
      </c>
      <c r="B77" s="38">
        <v>6.9199999999999998E-2</v>
      </c>
      <c r="C77" s="38">
        <v>5.1200000000000002E-2</v>
      </c>
      <c r="D77" s="38">
        <v>4.1500000000000002E-2</v>
      </c>
      <c r="E77" s="38">
        <v>3.0300000000000001E-2</v>
      </c>
      <c r="F77" s="38">
        <v>3.44E-2</v>
      </c>
      <c r="G77" s="38">
        <v>3.7600000000000001E-2</v>
      </c>
      <c r="H77" s="38">
        <v>5.8700000000000002E-2</v>
      </c>
      <c r="I77" s="38">
        <v>1.49E-2</v>
      </c>
      <c r="J77" s="38">
        <v>2.93E-2</v>
      </c>
      <c r="K77" s="38">
        <v>-5.7000000000000002E-3</v>
      </c>
      <c r="L77" s="38">
        <v>8.6E-3</v>
      </c>
      <c r="M77" s="38">
        <v>3.4000000000000002E-2</v>
      </c>
      <c r="N77" s="17">
        <v>1.67</v>
      </c>
      <c r="O77" s="17">
        <v>3.0000000000000001E-3</v>
      </c>
      <c r="P77" s="17">
        <v>1.33</v>
      </c>
      <c r="Q77" s="17">
        <v>0.83</v>
      </c>
      <c r="R77" s="17">
        <v>0.94899999999999995</v>
      </c>
      <c r="S77" s="17">
        <v>0.12</v>
      </c>
      <c r="T77" s="17">
        <v>20081231</v>
      </c>
      <c r="U77" s="17">
        <v>20190731</v>
      </c>
      <c r="V77" s="17">
        <v>128</v>
      </c>
    </row>
    <row r="78" spans="1:22" hidden="1">
      <c r="A78" s="17" t="s">
        <v>1486</v>
      </c>
      <c r="B78" s="38">
        <v>6.3500000000000001E-2</v>
      </c>
      <c r="C78" s="38">
        <v>5.2999999999999999E-2</v>
      </c>
      <c r="D78" s="38">
        <v>4.0300000000000002E-2</v>
      </c>
      <c r="E78" s="38">
        <v>2.7900000000000001E-2</v>
      </c>
      <c r="F78" s="38">
        <v>3.6999999999999998E-2</v>
      </c>
      <c r="G78" s="38">
        <v>3.7699999999999997E-2</v>
      </c>
      <c r="H78" s="38">
        <v>5.91E-2</v>
      </c>
      <c r="I78" s="38">
        <v>1.29E-2</v>
      </c>
      <c r="J78" s="38">
        <v>2.9000000000000001E-2</v>
      </c>
      <c r="K78" s="38">
        <v>-6.8999999999999999E-3</v>
      </c>
      <c r="L78" s="38">
        <v>7.9000000000000008E-3</v>
      </c>
      <c r="M78" s="38">
        <v>3.4000000000000002E-2</v>
      </c>
      <c r="N78" s="17">
        <v>1.64</v>
      </c>
      <c r="O78" s="17">
        <v>2.8999999999999998E-3</v>
      </c>
      <c r="P78" s="17">
        <v>1.28</v>
      </c>
      <c r="Q78" s="17">
        <v>0.81</v>
      </c>
      <c r="R78" s="17">
        <v>0.94899999999999995</v>
      </c>
      <c r="S78" s="17">
        <v>0.12</v>
      </c>
      <c r="T78" s="17">
        <v>20081231</v>
      </c>
      <c r="U78" s="17">
        <v>20190731</v>
      </c>
      <c r="V78" s="17">
        <v>128</v>
      </c>
    </row>
    <row r="79" spans="1:22" hidden="1">
      <c r="A79" s="17" t="s">
        <v>1516</v>
      </c>
      <c r="B79" s="38">
        <v>6.6000000000000003E-2</v>
      </c>
      <c r="C79" s="38">
        <v>4.99E-2</v>
      </c>
      <c r="D79" s="38">
        <v>3.9800000000000002E-2</v>
      </c>
      <c r="E79" s="38">
        <v>3.3599999999999998E-2</v>
      </c>
      <c r="F79" s="38">
        <v>3.5099999999999999E-2</v>
      </c>
      <c r="G79" s="38">
        <v>3.6299999999999999E-2</v>
      </c>
      <c r="H79" s="38">
        <v>5.4199999999999998E-2</v>
      </c>
      <c r="I79" s="38">
        <v>1.7399999999999999E-2</v>
      </c>
      <c r="J79" s="38">
        <v>2.9499999999999998E-2</v>
      </c>
      <c r="K79" s="38">
        <v>-5.3E-3</v>
      </c>
      <c r="L79" s="38">
        <v>8.3999999999999995E-3</v>
      </c>
      <c r="M79" s="38">
        <v>3.4000000000000002E-2</v>
      </c>
      <c r="N79" s="17">
        <v>1.63</v>
      </c>
      <c r="O79" s="17">
        <v>2.8999999999999998E-3</v>
      </c>
      <c r="P79" s="17">
        <v>1.23</v>
      </c>
      <c r="Q79" s="17">
        <v>0.79</v>
      </c>
      <c r="R79" s="17">
        <v>0.93899999999999995</v>
      </c>
      <c r="S79" s="17">
        <v>0.13</v>
      </c>
      <c r="T79" s="17">
        <v>20081231</v>
      </c>
      <c r="U79" s="17">
        <v>20190731</v>
      </c>
      <c r="V79" s="17">
        <v>128</v>
      </c>
    </row>
    <row r="80" spans="1:22" hidden="1">
      <c r="A80" s="17" t="s">
        <v>1534</v>
      </c>
      <c r="B80" s="38">
        <v>7.4800000000000005E-2</v>
      </c>
      <c r="C80" s="38">
        <v>2.2499999999999999E-2</v>
      </c>
      <c r="D80" s="38">
        <v>2.9600000000000001E-2</v>
      </c>
      <c r="E80" s="38">
        <v>4.5900000000000003E-2</v>
      </c>
      <c r="F80" s="38">
        <v>4.19E-2</v>
      </c>
      <c r="G80" s="38">
        <v>1.2200000000000001E-2</v>
      </c>
      <c r="H80" s="38">
        <v>3.8199999999999998E-2</v>
      </c>
      <c r="I80" s="38">
        <v>5.6500000000000002E-2</v>
      </c>
      <c r="J80" s="38">
        <v>2.6599999999999999E-2</v>
      </c>
      <c r="K80" s="38">
        <v>-2.8E-3</v>
      </c>
      <c r="L80" s="38">
        <v>1.03E-2</v>
      </c>
      <c r="M80" s="38">
        <v>3.3000000000000002E-2</v>
      </c>
      <c r="N80" s="17">
        <v>1.87</v>
      </c>
      <c r="O80" s="17">
        <v>2.5999999999999999E-3</v>
      </c>
      <c r="P80" s="17">
        <v>1.54</v>
      </c>
      <c r="Q80" s="17">
        <v>0.76</v>
      </c>
      <c r="R80" s="17">
        <v>0.94599999999999995</v>
      </c>
      <c r="S80" s="17">
        <v>0</v>
      </c>
      <c r="T80" s="17">
        <v>20081231</v>
      </c>
      <c r="U80" s="17">
        <v>20190731</v>
      </c>
      <c r="V80" s="17">
        <v>128</v>
      </c>
    </row>
    <row r="81" spans="1:22" hidden="1">
      <c r="A81" s="17" t="s">
        <v>687</v>
      </c>
      <c r="B81" s="38">
        <v>2.1700000000000001E-2</v>
      </c>
      <c r="C81" s="38">
        <v>5.5599999999999997E-2</v>
      </c>
      <c r="D81" s="38">
        <v>5.4199999999999998E-2</v>
      </c>
      <c r="E81" s="38">
        <v>3.1099999999999999E-2</v>
      </c>
      <c r="F81" s="38">
        <v>2.76E-2</v>
      </c>
      <c r="G81" s="38">
        <v>7.4000000000000003E-3</v>
      </c>
      <c r="H81" s="38">
        <v>5.4899999999999997E-2</v>
      </c>
      <c r="I81" s="38">
        <v>3.5499999999999997E-2</v>
      </c>
      <c r="J81" s="38">
        <v>3.8100000000000002E-2</v>
      </c>
      <c r="K81" s="38">
        <v>-2.5999999999999999E-3</v>
      </c>
      <c r="L81" s="38">
        <v>2.7300000000000001E-2</v>
      </c>
      <c r="M81" s="38">
        <v>3.2000000000000001E-2</v>
      </c>
      <c r="N81" s="17">
        <v>2.14</v>
      </c>
      <c r="O81" s="17">
        <v>2.8E-3</v>
      </c>
      <c r="P81" s="17">
        <v>2</v>
      </c>
      <c r="Q81" s="17">
        <v>0.81</v>
      </c>
      <c r="R81" s="17">
        <v>0.90500000000000003</v>
      </c>
      <c r="S81" s="17">
        <v>0.68</v>
      </c>
      <c r="T81" s="17">
        <v>20081231</v>
      </c>
      <c r="U81" s="17">
        <v>20190731</v>
      </c>
      <c r="V81" s="17">
        <v>128</v>
      </c>
    </row>
    <row r="82" spans="1:22" hidden="1">
      <c r="A82" s="17" t="s">
        <v>1581</v>
      </c>
      <c r="B82" s="38">
        <v>2.87E-2</v>
      </c>
      <c r="C82" s="38">
        <v>6.3399999999999998E-2</v>
      </c>
      <c r="D82" s="38">
        <v>2.5700000000000001E-2</v>
      </c>
      <c r="E82" s="38">
        <v>4.0500000000000001E-2</v>
      </c>
      <c r="F82" s="38">
        <v>3.9399999999999998E-2</v>
      </c>
      <c r="G82" s="38">
        <v>1.1999999999999999E-3</v>
      </c>
      <c r="H82" s="38">
        <v>3.3000000000000002E-2</v>
      </c>
      <c r="I82" s="38">
        <v>1.84E-2</v>
      </c>
      <c r="J82" s="38">
        <v>7.46E-2</v>
      </c>
      <c r="K82" s="38">
        <v>-5.7000000000000002E-3</v>
      </c>
      <c r="L82" s="38">
        <v>3.2599999999999997E-2</v>
      </c>
      <c r="M82" s="38">
        <v>3.2000000000000001E-2</v>
      </c>
      <c r="N82" s="17">
        <v>1.88</v>
      </c>
      <c r="O82" s="17">
        <v>3.0999999999999999E-3</v>
      </c>
      <c r="P82" s="17">
        <v>1.85</v>
      </c>
      <c r="Q82" s="17">
        <v>0.97</v>
      </c>
      <c r="R82" s="17">
        <v>0.997</v>
      </c>
      <c r="S82" s="17">
        <v>0.77</v>
      </c>
      <c r="T82" s="17">
        <v>20081231</v>
      </c>
      <c r="U82" s="17">
        <v>20190731</v>
      </c>
      <c r="V82" s="17">
        <v>128</v>
      </c>
    </row>
    <row r="83" spans="1:22">
      <c r="A83" s="17" t="s">
        <v>1577</v>
      </c>
      <c r="B83" s="38">
        <v>-1.01E-2</v>
      </c>
      <c r="C83" s="38">
        <v>2.1700000000000001E-2</v>
      </c>
      <c r="D83" s="38">
        <v>1.8200000000000001E-2</v>
      </c>
      <c r="E83" s="38">
        <v>1.3899999999999999E-2</v>
      </c>
      <c r="F83" s="38">
        <v>3.2300000000000002E-2</v>
      </c>
      <c r="G83" s="38">
        <v>-5.4399999999999997E-2</v>
      </c>
      <c r="H83" s="38">
        <v>3.0300000000000001E-2</v>
      </c>
      <c r="I83" s="38">
        <v>-8.3000000000000001E-3</v>
      </c>
      <c r="J83" s="38">
        <v>5.7700000000000001E-2</v>
      </c>
      <c r="K83" s="38">
        <v>4.3099999999999999E-2</v>
      </c>
      <c r="L83" s="38">
        <v>5.8299999999999998E-2</v>
      </c>
      <c r="M83" s="38">
        <v>1.7000000000000001E-2</v>
      </c>
      <c r="N83" s="17">
        <v>0.59</v>
      </c>
      <c r="O83" s="17">
        <v>1.1000000000000001E-3</v>
      </c>
      <c r="P83" s="17">
        <v>0.53</v>
      </c>
      <c r="Q83" s="17">
        <v>0.56999999999999995</v>
      </c>
      <c r="R83" s="17">
        <v>0.96099999999999997</v>
      </c>
      <c r="S83" s="17">
        <v>0.99</v>
      </c>
      <c r="T83" s="17">
        <v>20081231</v>
      </c>
      <c r="U83" s="17">
        <v>20190731</v>
      </c>
      <c r="V83" s="17">
        <v>128</v>
      </c>
    </row>
    <row r="84" spans="1:22" hidden="1">
      <c r="A84" s="17" t="s">
        <v>1755</v>
      </c>
      <c r="B84" s="38">
        <v>4.1500000000000002E-2</v>
      </c>
      <c r="C84" s="38">
        <v>1.35E-2</v>
      </c>
      <c r="D84" s="38">
        <v>3.2099999999999997E-2</v>
      </c>
      <c r="E84" s="38">
        <v>2.0500000000000001E-2</v>
      </c>
      <c r="F84" s="38">
        <v>8.8000000000000005E-3</v>
      </c>
      <c r="G84" s="38">
        <v>2.7000000000000001E-3</v>
      </c>
      <c r="H84" s="38">
        <v>-1.6199999999999999E-2</v>
      </c>
      <c r="I84" s="38">
        <v>5.04E-2</v>
      </c>
      <c r="J84" s="38">
        <v>4.5699999999999998E-2</v>
      </c>
      <c r="K84" s="38">
        <v>5.0599999999999999E-2</v>
      </c>
      <c r="L84" s="38">
        <v>3.4799999999999998E-2</v>
      </c>
      <c r="M84" s="38">
        <v>2.5999999999999999E-2</v>
      </c>
      <c r="N84" s="17">
        <v>1.06</v>
      </c>
      <c r="O84" s="17">
        <v>2.3E-3</v>
      </c>
      <c r="P84" s="17">
        <v>0.55000000000000004</v>
      </c>
      <c r="Q84" s="17">
        <v>0.47</v>
      </c>
      <c r="R84" s="17">
        <v>0.95899999999999996</v>
      </c>
      <c r="S84" s="17">
        <v>0.81</v>
      </c>
      <c r="T84" s="17">
        <v>20081231</v>
      </c>
      <c r="U84" s="17">
        <v>20190731</v>
      </c>
      <c r="V84" s="17">
        <v>128</v>
      </c>
    </row>
    <row r="85" spans="1:22" hidden="1">
      <c r="A85" s="17" t="s">
        <v>1544</v>
      </c>
      <c r="B85" s="38">
        <v>7.4499999999999997E-2</v>
      </c>
      <c r="C85" s="38">
        <v>-4.1999999999999997E-3</v>
      </c>
      <c r="D85" s="38">
        <v>3.9800000000000002E-2</v>
      </c>
      <c r="E85" s="38">
        <v>4.6600000000000003E-2</v>
      </c>
      <c r="F85" s="38">
        <v>2.6700000000000002E-2</v>
      </c>
      <c r="G85" s="38">
        <v>5.16E-2</v>
      </c>
      <c r="H85" s="38">
        <v>0.12189999999999999</v>
      </c>
      <c r="I85" s="38">
        <v>3.9199999999999999E-2</v>
      </c>
      <c r="J85" s="38">
        <v>-5.7799999999999997E-2</v>
      </c>
      <c r="K85" s="38">
        <v>-4.4400000000000002E-2</v>
      </c>
      <c r="L85" s="38">
        <v>-1.9300000000000001E-2</v>
      </c>
      <c r="M85" s="38">
        <v>2.5999999999999999E-2</v>
      </c>
      <c r="N85" s="17">
        <v>0.83</v>
      </c>
      <c r="O85" s="17">
        <v>2E-3</v>
      </c>
      <c r="P85" s="17">
        <v>0.6</v>
      </c>
      <c r="Q85" s="17">
        <v>0.4</v>
      </c>
      <c r="R85" s="17">
        <v>0.96299999999999997</v>
      </c>
      <c r="S85" s="17">
        <v>0.8</v>
      </c>
      <c r="T85" s="17">
        <v>20081231</v>
      </c>
      <c r="U85" s="17">
        <v>20190731</v>
      </c>
      <c r="V85" s="17">
        <v>128</v>
      </c>
    </row>
    <row r="86" spans="1:22" hidden="1">
      <c r="A86" s="17" t="s">
        <v>1552</v>
      </c>
      <c r="B86" s="38">
        <v>5.3E-3</v>
      </c>
      <c r="C86" s="38">
        <v>2.53E-2</v>
      </c>
      <c r="D86" s="38">
        <v>2.4799999999999999E-2</v>
      </c>
      <c r="E86" s="38">
        <v>2.1999999999999999E-2</v>
      </c>
      <c r="F86" s="38">
        <v>3.1800000000000002E-2</v>
      </c>
      <c r="G86" s="38">
        <v>5.0000000000000001E-4</v>
      </c>
      <c r="H86" s="38">
        <v>5.7599999999999998E-2</v>
      </c>
      <c r="I86" s="38">
        <v>6.3799999999999996E-2</v>
      </c>
      <c r="J86" s="38">
        <v>2.52E-2</v>
      </c>
      <c r="K86" s="38">
        <v>1.3100000000000001E-2</v>
      </c>
      <c r="L86" s="38">
        <v>1.2800000000000001E-2</v>
      </c>
      <c r="M86" s="38">
        <v>2.5999999999999999E-2</v>
      </c>
      <c r="N86" s="17">
        <v>1.54</v>
      </c>
      <c r="O86" s="17">
        <v>1.2999999999999999E-3</v>
      </c>
      <c r="P86" s="17">
        <v>0.73</v>
      </c>
      <c r="Q86" s="17">
        <v>0.42</v>
      </c>
      <c r="R86" s="17">
        <v>0.996</v>
      </c>
      <c r="S86" s="17">
        <v>0.89</v>
      </c>
      <c r="T86" s="17">
        <v>20081231</v>
      </c>
      <c r="U86" s="17">
        <v>20190731</v>
      </c>
      <c r="V86" s="17">
        <v>128</v>
      </c>
    </row>
    <row r="87" spans="1:22" hidden="1">
      <c r="A87" s="17" t="s">
        <v>1472</v>
      </c>
      <c r="B87" s="38">
        <v>3.8999999999999998E-3</v>
      </c>
      <c r="C87" s="38">
        <v>1.67E-2</v>
      </c>
      <c r="D87" s="38">
        <v>1.72E-2</v>
      </c>
      <c r="E87" s="38">
        <v>1.6899999999999998E-2</v>
      </c>
      <c r="F87" s="38">
        <v>3.6799999999999999E-2</v>
      </c>
      <c r="G87" s="38">
        <v>0.02</v>
      </c>
      <c r="H87" s="38">
        <v>6.2100000000000002E-2</v>
      </c>
      <c r="I87" s="38">
        <v>5.7200000000000001E-2</v>
      </c>
      <c r="J87" s="38">
        <v>-8.5000000000000006E-3</v>
      </c>
      <c r="K87" s="38">
        <v>4.5600000000000002E-2</v>
      </c>
      <c r="L87" s="38">
        <v>-3.0000000000000001E-3</v>
      </c>
      <c r="M87" s="38">
        <v>2.5000000000000001E-2</v>
      </c>
      <c r="N87" s="17">
        <v>1.27</v>
      </c>
      <c r="O87" s="17">
        <v>1.6000000000000001E-3</v>
      </c>
      <c r="P87" s="17">
        <v>1.0900000000000001</v>
      </c>
      <c r="Q87" s="17">
        <v>0.73</v>
      </c>
      <c r="R87" s="17">
        <v>0.96299999999999997</v>
      </c>
      <c r="S87" s="17">
        <v>0.87</v>
      </c>
      <c r="T87" s="17">
        <v>20081231</v>
      </c>
      <c r="U87" s="17">
        <v>20190731</v>
      </c>
      <c r="V87" s="17">
        <v>128</v>
      </c>
    </row>
    <row r="88" spans="1:22" hidden="1">
      <c r="A88" s="17" t="s">
        <v>1482</v>
      </c>
      <c r="B88" s="38">
        <v>-6.3E-3</v>
      </c>
      <c r="C88" s="38">
        <v>2.4799999999999999E-2</v>
      </c>
      <c r="D88" s="38">
        <v>2.8799999999999999E-2</v>
      </c>
      <c r="E88" s="38">
        <v>1.4500000000000001E-2</v>
      </c>
      <c r="F88" s="38">
        <v>4.3400000000000001E-2</v>
      </c>
      <c r="G88" s="38">
        <v>-1.4E-3</v>
      </c>
      <c r="H88" s="38">
        <v>4.2900000000000001E-2</v>
      </c>
      <c r="I88" s="38">
        <v>4.3900000000000002E-2</v>
      </c>
      <c r="J88" s="38">
        <v>1.5100000000000001E-2</v>
      </c>
      <c r="K88" s="38">
        <v>3.5700000000000003E-2</v>
      </c>
      <c r="L88" s="38">
        <v>1.24E-2</v>
      </c>
      <c r="M88" s="38">
        <v>2.3E-2</v>
      </c>
      <c r="N88" s="17">
        <v>1.53</v>
      </c>
      <c r="O88" s="17">
        <v>1.8E-3</v>
      </c>
      <c r="P88" s="17">
        <v>0.91</v>
      </c>
      <c r="Q88" s="17">
        <v>0.53</v>
      </c>
      <c r="R88" s="17">
        <v>0.96399999999999997</v>
      </c>
      <c r="S88" s="17">
        <v>0.86</v>
      </c>
      <c r="T88" s="17">
        <v>20081231</v>
      </c>
      <c r="U88" s="17">
        <v>20190731</v>
      </c>
      <c r="V88" s="17">
        <v>128</v>
      </c>
    </row>
    <row r="89" spans="1:22" hidden="1">
      <c r="A89" s="17" t="s">
        <v>1478</v>
      </c>
      <c r="B89" s="38">
        <v>-7.7999999999999996E-3</v>
      </c>
      <c r="C89" s="38">
        <v>2.7300000000000001E-2</v>
      </c>
      <c r="D89" s="38">
        <v>1.11E-2</v>
      </c>
      <c r="E89" s="38">
        <v>5.5999999999999999E-3</v>
      </c>
      <c r="F89" s="38">
        <v>4.1300000000000003E-2</v>
      </c>
      <c r="G89" s="38">
        <v>-6.4000000000000003E-3</v>
      </c>
      <c r="H89" s="38">
        <v>2.29E-2</v>
      </c>
      <c r="I89" s="38">
        <v>3.1699999999999999E-2</v>
      </c>
      <c r="J89" s="38">
        <v>4.4600000000000001E-2</v>
      </c>
      <c r="K89" s="38">
        <v>3.9600000000000003E-2</v>
      </c>
      <c r="L89" s="38">
        <v>3.0499999999999999E-2</v>
      </c>
      <c r="M89" s="38">
        <v>2.1999999999999999E-2</v>
      </c>
      <c r="N89" s="17">
        <v>1.33</v>
      </c>
      <c r="O89" s="17">
        <v>1.8E-3</v>
      </c>
      <c r="P89" s="17">
        <v>0.89</v>
      </c>
      <c r="Q89" s="17">
        <v>0.56999999999999995</v>
      </c>
      <c r="R89" s="17">
        <v>0.96399999999999997</v>
      </c>
      <c r="S89" s="17">
        <v>0.86</v>
      </c>
      <c r="T89" s="17">
        <v>20081231</v>
      </c>
      <c r="U89" s="17">
        <v>20190731</v>
      </c>
      <c r="V89" s="17">
        <v>128</v>
      </c>
    </row>
    <row r="90" spans="1:22" hidden="1">
      <c r="A90" s="17" t="s">
        <v>1479</v>
      </c>
      <c r="B90" s="38">
        <v>5.8999999999999999E-3</v>
      </c>
      <c r="C90" s="38">
        <v>2.1700000000000001E-2</v>
      </c>
      <c r="D90" s="38">
        <v>1.2500000000000001E-2</v>
      </c>
      <c r="E90" s="38">
        <v>1.3899999999999999E-2</v>
      </c>
      <c r="F90" s="38">
        <v>4.6199999999999998E-2</v>
      </c>
      <c r="G90" s="38">
        <v>-4.7000000000000002E-3</v>
      </c>
      <c r="H90" s="38">
        <v>2.2599999999999999E-2</v>
      </c>
      <c r="I90" s="38">
        <v>1.7299999999999999E-2</v>
      </c>
      <c r="J90" s="38">
        <v>3.8899999999999997E-2</v>
      </c>
      <c r="K90" s="38">
        <v>3.0300000000000001E-2</v>
      </c>
      <c r="L90" s="38">
        <v>4.1200000000000001E-2</v>
      </c>
      <c r="M90" s="38">
        <v>2.1999999999999999E-2</v>
      </c>
      <c r="N90" s="17">
        <v>1.38</v>
      </c>
      <c r="O90" s="17">
        <v>1.6000000000000001E-3</v>
      </c>
      <c r="P90" s="17">
        <v>0.82</v>
      </c>
      <c r="Q90" s="17">
        <v>0.51</v>
      </c>
      <c r="R90" s="17">
        <v>0.96399999999999997</v>
      </c>
      <c r="S90" s="17">
        <v>0.92</v>
      </c>
      <c r="T90" s="17">
        <v>20081231</v>
      </c>
      <c r="U90" s="17">
        <v>20190731</v>
      </c>
      <c r="V90" s="17">
        <v>128</v>
      </c>
    </row>
    <row r="91" spans="1:22" hidden="1">
      <c r="A91" s="17" t="s">
        <v>1480</v>
      </c>
      <c r="B91" s="38">
        <v>9.9000000000000008E-3</v>
      </c>
      <c r="C91" s="38">
        <v>1.7100000000000001E-2</v>
      </c>
      <c r="D91" s="38">
        <v>1.9900000000000001E-2</v>
      </c>
      <c r="E91" s="38">
        <v>1.21E-2</v>
      </c>
      <c r="F91" s="38">
        <v>5.4899999999999997E-2</v>
      </c>
      <c r="G91" s="38">
        <v>1.55E-2</v>
      </c>
      <c r="H91" s="38">
        <v>4.2500000000000003E-2</v>
      </c>
      <c r="I91" s="38">
        <v>2.3300000000000001E-2</v>
      </c>
      <c r="J91" s="38">
        <v>6.1999999999999998E-3</v>
      </c>
      <c r="K91" s="38">
        <v>2.8899999999999999E-2</v>
      </c>
      <c r="L91" s="38">
        <v>1.5E-3</v>
      </c>
      <c r="M91" s="38">
        <v>2.1999999999999999E-2</v>
      </c>
      <c r="N91" s="17">
        <v>1.6</v>
      </c>
      <c r="O91" s="17">
        <v>1.5E-3</v>
      </c>
      <c r="P91" s="17">
        <v>0.81</v>
      </c>
      <c r="Q91" s="17">
        <v>0.42</v>
      </c>
      <c r="R91" s="17">
        <v>0.96799999999999997</v>
      </c>
      <c r="S91" s="17">
        <v>0.94</v>
      </c>
      <c r="T91" s="17">
        <v>20081231</v>
      </c>
      <c r="U91" s="17">
        <v>20190731</v>
      </c>
      <c r="V91" s="17">
        <v>128</v>
      </c>
    </row>
    <row r="92" spans="1:22" hidden="1">
      <c r="A92" s="17" t="s">
        <v>1483</v>
      </c>
      <c r="B92" s="38">
        <v>4.0000000000000002E-4</v>
      </c>
      <c r="C92" s="38">
        <v>1.83E-2</v>
      </c>
      <c r="D92" s="38">
        <v>3.0800000000000001E-2</v>
      </c>
      <c r="E92" s="38">
        <v>1.1299999999999999E-2</v>
      </c>
      <c r="F92" s="38">
        <v>5.3999999999999999E-2</v>
      </c>
      <c r="G92" s="38">
        <v>8.3000000000000001E-3</v>
      </c>
      <c r="H92" s="38">
        <v>4.2799999999999998E-2</v>
      </c>
      <c r="I92" s="38">
        <v>2.5999999999999999E-2</v>
      </c>
      <c r="J92" s="38">
        <v>3.5000000000000001E-3</v>
      </c>
      <c r="K92" s="38">
        <v>2.4400000000000002E-2</v>
      </c>
      <c r="L92" s="38">
        <v>2.2100000000000002E-2</v>
      </c>
      <c r="M92" s="38">
        <v>2.1999999999999999E-2</v>
      </c>
      <c r="N92" s="17">
        <v>1.51</v>
      </c>
      <c r="O92" s="17">
        <v>1.5E-3</v>
      </c>
      <c r="P92" s="17">
        <v>0.81</v>
      </c>
      <c r="Q92" s="17">
        <v>0.45</v>
      </c>
      <c r="R92" s="17">
        <v>0.96399999999999997</v>
      </c>
      <c r="S92" s="17">
        <v>0.92</v>
      </c>
      <c r="T92" s="17">
        <v>20081231</v>
      </c>
      <c r="U92" s="17">
        <v>20190731</v>
      </c>
      <c r="V92" s="17">
        <v>128</v>
      </c>
    </row>
    <row r="93" spans="1:22">
      <c r="A93" s="17" t="s">
        <v>1578</v>
      </c>
      <c r="B93" s="38">
        <v>4.4000000000000003E-3</v>
      </c>
      <c r="C93" s="38">
        <v>3.5000000000000003E-2</v>
      </c>
      <c r="D93" s="38">
        <v>2.7E-2</v>
      </c>
      <c r="E93" s="38">
        <v>4.2000000000000003E-2</v>
      </c>
      <c r="F93" s="38">
        <v>5.1999999999999998E-2</v>
      </c>
      <c r="G93" s="38">
        <v>-2.7699999999999999E-2</v>
      </c>
      <c r="H93" s="38">
        <v>4.6199999999999998E-2</v>
      </c>
      <c r="I93" s="38">
        <v>5.2400000000000002E-2</v>
      </c>
      <c r="J93" s="38">
        <v>5.5199999999999999E-2</v>
      </c>
      <c r="K93" s="38">
        <v>5.8599999999999999E-2</v>
      </c>
      <c r="L93" s="38">
        <v>5.1299999999999998E-2</v>
      </c>
      <c r="M93" s="38">
        <v>3.5999999999999997E-2</v>
      </c>
      <c r="N93" s="17">
        <v>1.38</v>
      </c>
      <c r="O93" s="17">
        <v>1.8E-3</v>
      </c>
      <c r="P93" s="17">
        <v>0.79</v>
      </c>
      <c r="Q93" s="17">
        <v>0.92</v>
      </c>
      <c r="R93" s="17">
        <v>0.96299999999999997</v>
      </c>
      <c r="S93" s="17">
        <v>0.91</v>
      </c>
      <c r="T93" s="17">
        <v>20081231</v>
      </c>
      <c r="U93" s="17">
        <v>20190731</v>
      </c>
      <c r="V93" s="17">
        <v>128</v>
      </c>
    </row>
    <row r="94" spans="1:22" hidden="1">
      <c r="A94" s="17" t="s">
        <v>1491</v>
      </c>
      <c r="B94" s="38">
        <v>-3.61E-2</v>
      </c>
      <c r="C94" s="38">
        <v>3.3500000000000002E-2</v>
      </c>
      <c r="D94" s="38">
        <v>1.9E-3</v>
      </c>
      <c r="E94" s="38">
        <v>2.1600000000000001E-2</v>
      </c>
      <c r="F94" s="38">
        <v>4.02E-2</v>
      </c>
      <c r="G94" s="38">
        <v>-3.6799999999999999E-2</v>
      </c>
      <c r="H94" s="38">
        <v>-1.9E-2</v>
      </c>
      <c r="I94" s="38">
        <v>0.04</v>
      </c>
      <c r="J94" s="38">
        <v>8.5099999999999995E-2</v>
      </c>
      <c r="K94" s="38">
        <v>5.0200000000000002E-2</v>
      </c>
      <c r="L94" s="38">
        <v>6.5100000000000005E-2</v>
      </c>
      <c r="M94" s="38">
        <v>2.1000000000000001E-2</v>
      </c>
      <c r="N94" s="17">
        <v>0.75</v>
      </c>
      <c r="O94" s="17">
        <v>1.1999999999999999E-3</v>
      </c>
      <c r="P94" s="17">
        <v>0.42</v>
      </c>
      <c r="Q94" s="17">
        <v>0.56000000000000005</v>
      </c>
      <c r="R94" s="17">
        <v>0.98499999999999999</v>
      </c>
      <c r="S94" s="17">
        <v>0.93</v>
      </c>
      <c r="T94" s="17">
        <v>20081231</v>
      </c>
      <c r="U94" s="17">
        <v>20190731</v>
      </c>
      <c r="V94" s="17">
        <v>128</v>
      </c>
    </row>
    <row r="95" spans="1:22" hidden="1">
      <c r="A95" s="17" t="s">
        <v>1494</v>
      </c>
      <c r="B95" s="38">
        <v>-2.9700000000000001E-2</v>
      </c>
      <c r="C95" s="38">
        <v>3.0300000000000001E-2</v>
      </c>
      <c r="D95" s="38">
        <v>5.9999999999999995E-4</v>
      </c>
      <c r="E95" s="38">
        <v>1.7500000000000002E-2</v>
      </c>
      <c r="F95" s="38">
        <v>4.02E-2</v>
      </c>
      <c r="G95" s="38">
        <v>-2.76E-2</v>
      </c>
      <c r="H95" s="38">
        <v>-2.7199999999999998E-2</v>
      </c>
      <c r="I95" s="38">
        <v>3.9300000000000002E-2</v>
      </c>
      <c r="J95" s="38">
        <v>8.2400000000000001E-2</v>
      </c>
      <c r="K95" s="38">
        <v>6.3700000000000007E-2</v>
      </c>
      <c r="L95" s="38">
        <v>5.5800000000000002E-2</v>
      </c>
      <c r="M95" s="38">
        <v>2.1000000000000001E-2</v>
      </c>
      <c r="N95" s="17">
        <v>0.76</v>
      </c>
      <c r="O95" s="17">
        <v>1.5E-3</v>
      </c>
      <c r="P95" s="17">
        <v>0.52</v>
      </c>
      <c r="Q95" s="17">
        <v>0.61</v>
      </c>
      <c r="R95" s="17">
        <v>0.99299999999999999</v>
      </c>
      <c r="S95" s="17">
        <v>0.9</v>
      </c>
      <c r="T95" s="17">
        <v>20081231</v>
      </c>
      <c r="U95" s="17">
        <v>20190731</v>
      </c>
      <c r="V95" s="17">
        <v>128</v>
      </c>
    </row>
    <row r="96" spans="1:22" hidden="1">
      <c r="A96" s="17" t="s">
        <v>1580</v>
      </c>
      <c r="B96" s="38">
        <v>2.23E-2</v>
      </c>
      <c r="C96" s="38">
        <v>4.24E-2</v>
      </c>
      <c r="D96" s="38">
        <v>1.8800000000000001E-2</v>
      </c>
      <c r="E96" s="38">
        <v>3.2000000000000001E-2</v>
      </c>
      <c r="F96" s="38">
        <v>2.75E-2</v>
      </c>
      <c r="G96" s="38">
        <v>-1.2800000000000001E-2</v>
      </c>
      <c r="H96" s="38">
        <v>1.32E-2</v>
      </c>
      <c r="I96" s="38">
        <v>1.46E-2</v>
      </c>
      <c r="J96" s="38">
        <v>4.7199999999999999E-2</v>
      </c>
      <c r="K96" s="38">
        <v>-2.0999999999999999E-3</v>
      </c>
      <c r="L96" s="38">
        <v>2.9499999999999998E-2</v>
      </c>
      <c r="M96" s="38">
        <v>2.1000000000000001E-2</v>
      </c>
      <c r="N96" s="17">
        <v>1.47</v>
      </c>
      <c r="O96" s="17">
        <v>2.2000000000000001E-3</v>
      </c>
      <c r="P96" s="17">
        <v>1.63</v>
      </c>
      <c r="Q96" s="17">
        <v>0.56999999999999995</v>
      </c>
      <c r="R96" s="17">
        <v>0.999</v>
      </c>
      <c r="S96" s="17">
        <v>0.57999999999999996</v>
      </c>
      <c r="T96" s="17">
        <v>20081231</v>
      </c>
      <c r="U96" s="17">
        <v>20190731</v>
      </c>
      <c r="V96" s="17">
        <v>128</v>
      </c>
    </row>
    <row r="97" spans="1:22" hidden="1">
      <c r="A97" s="17" t="s">
        <v>1537</v>
      </c>
      <c r="B97" s="38">
        <v>7.9100000000000004E-2</v>
      </c>
      <c r="C97" s="38">
        <v>-4.7000000000000002E-3</v>
      </c>
      <c r="D97" s="38">
        <v>2.5100000000000001E-2</v>
      </c>
      <c r="E97" s="38">
        <v>-4.4999999999999997E-3</v>
      </c>
      <c r="F97" s="38">
        <v>1.8100000000000002E-2</v>
      </c>
      <c r="G97" s="38">
        <v>6.4699999999999994E-2</v>
      </c>
      <c r="H97" s="38">
        <v>0.1008</v>
      </c>
      <c r="I97" s="38">
        <v>5.3100000000000001E-2</v>
      </c>
      <c r="J97" s="38">
        <v>-5.6500000000000002E-2</v>
      </c>
      <c r="K97" s="38">
        <v>-2.5100000000000001E-2</v>
      </c>
      <c r="L97" s="38">
        <v>-4.0300000000000002E-2</v>
      </c>
      <c r="M97" s="38">
        <v>2.1000000000000001E-2</v>
      </c>
      <c r="N97" s="17">
        <v>0.67</v>
      </c>
      <c r="O97" s="17">
        <v>1.5E-3</v>
      </c>
      <c r="P97" s="17">
        <v>0.47</v>
      </c>
      <c r="Q97" s="17">
        <v>0.26</v>
      </c>
      <c r="R97" s="17">
        <v>0.97</v>
      </c>
      <c r="S97" s="17">
        <v>0.88</v>
      </c>
      <c r="T97" s="17">
        <v>20081231</v>
      </c>
      <c r="U97" s="17">
        <v>20190731</v>
      </c>
      <c r="V97" s="17">
        <v>128</v>
      </c>
    </row>
    <row r="98" spans="1:22" hidden="1">
      <c r="A98" s="17" t="s">
        <v>1476</v>
      </c>
      <c r="B98" s="38">
        <v>1.2200000000000001E-2</v>
      </c>
      <c r="C98" s="38">
        <v>1.43E-2</v>
      </c>
      <c r="D98" s="38">
        <v>7.1000000000000004E-3</v>
      </c>
      <c r="E98" s="38">
        <v>1.3299999999999999E-2</v>
      </c>
      <c r="F98" s="38">
        <v>5.0900000000000001E-2</v>
      </c>
      <c r="G98" s="38">
        <v>-5.5999999999999999E-3</v>
      </c>
      <c r="H98" s="38">
        <v>2.7400000000000001E-2</v>
      </c>
      <c r="I98" s="38">
        <v>9.7000000000000003E-3</v>
      </c>
      <c r="J98" s="38">
        <v>3.0099999999999998E-2</v>
      </c>
      <c r="K98" s="38">
        <v>3.6299999999999999E-2</v>
      </c>
      <c r="L98" s="38">
        <v>3.0800000000000001E-2</v>
      </c>
      <c r="M98" s="38">
        <v>0.02</v>
      </c>
      <c r="N98" s="17">
        <v>1.28</v>
      </c>
      <c r="O98" s="17">
        <v>1.5E-3</v>
      </c>
      <c r="P98" s="17">
        <v>0.77</v>
      </c>
      <c r="Q98" s="17">
        <v>0.47</v>
      </c>
      <c r="R98" s="17">
        <v>0.96799999999999997</v>
      </c>
      <c r="S98" s="17">
        <v>0.95</v>
      </c>
      <c r="T98" s="17">
        <v>20081231</v>
      </c>
      <c r="U98" s="17">
        <v>20190731</v>
      </c>
      <c r="V98" s="17">
        <v>128</v>
      </c>
    </row>
    <row r="99" spans="1:22" hidden="1">
      <c r="A99" s="17" t="s">
        <v>1481</v>
      </c>
      <c r="B99" s="38">
        <v>1.9699999999999999E-2</v>
      </c>
      <c r="C99" s="38">
        <v>4.1999999999999997E-3</v>
      </c>
      <c r="D99" s="38">
        <v>1.14E-2</v>
      </c>
      <c r="E99" s="38">
        <v>1.3100000000000001E-2</v>
      </c>
      <c r="F99" s="38">
        <v>5.6399999999999999E-2</v>
      </c>
      <c r="G99" s="38">
        <v>3.49E-2</v>
      </c>
      <c r="H99" s="38">
        <v>3.2099999999999997E-2</v>
      </c>
      <c r="I99" s="38">
        <v>1.4999999999999999E-2</v>
      </c>
      <c r="J99" s="38">
        <v>1.72E-2</v>
      </c>
      <c r="K99" s="38">
        <v>9.1000000000000004E-3</v>
      </c>
      <c r="L99" s="38">
        <v>-6.7000000000000002E-3</v>
      </c>
      <c r="M99" s="38">
        <v>0.02</v>
      </c>
      <c r="N99" s="17">
        <v>1.34</v>
      </c>
      <c r="O99" s="17">
        <v>1.1999999999999999E-3</v>
      </c>
      <c r="P99" s="17">
        <v>0.71</v>
      </c>
      <c r="Q99" s="17">
        <v>0.32</v>
      </c>
      <c r="R99" s="17">
        <v>0.95899999999999996</v>
      </c>
      <c r="S99" s="17">
        <v>0.97</v>
      </c>
      <c r="T99" s="17">
        <v>20081231</v>
      </c>
      <c r="U99" s="17">
        <v>20190731</v>
      </c>
      <c r="V99" s="17">
        <v>128</v>
      </c>
    </row>
    <row r="100" spans="1:22" hidden="1">
      <c r="A100" s="17" t="s">
        <v>1493</v>
      </c>
      <c r="B100" s="38">
        <v>-3.5700000000000003E-2</v>
      </c>
      <c r="C100" s="38">
        <v>4.02E-2</v>
      </c>
      <c r="D100" s="38">
        <v>-1E-4</v>
      </c>
      <c r="E100" s="38">
        <v>-9.1999999999999998E-3</v>
      </c>
      <c r="F100" s="38">
        <v>2.6599999999999999E-2</v>
      </c>
      <c r="G100" s="38">
        <v>-2.06E-2</v>
      </c>
      <c r="H100" s="38">
        <v>-2.8500000000000001E-2</v>
      </c>
      <c r="I100" s="38">
        <v>4.3400000000000001E-2</v>
      </c>
      <c r="J100" s="38">
        <v>8.8700000000000001E-2</v>
      </c>
      <c r="K100" s="38">
        <v>6.88E-2</v>
      </c>
      <c r="L100" s="38">
        <v>6.1100000000000002E-2</v>
      </c>
      <c r="M100" s="38">
        <v>0.02</v>
      </c>
      <c r="N100" s="17">
        <v>0.71</v>
      </c>
      <c r="O100" s="17">
        <v>1.2999999999999999E-3</v>
      </c>
      <c r="P100" s="17">
        <v>0.45</v>
      </c>
      <c r="Q100" s="17">
        <v>0.59</v>
      </c>
      <c r="R100" s="17">
        <v>0.998</v>
      </c>
      <c r="S100" s="17">
        <v>0.83</v>
      </c>
      <c r="T100" s="17">
        <v>20081231</v>
      </c>
      <c r="U100" s="17">
        <v>20190731</v>
      </c>
      <c r="V100" s="17">
        <v>128</v>
      </c>
    </row>
    <row r="101" spans="1:22" hidden="1">
      <c r="A101" s="17" t="s">
        <v>1540</v>
      </c>
      <c r="B101" s="38">
        <v>4.9799999999999997E-2</v>
      </c>
      <c r="C101" s="38">
        <v>3.3E-3</v>
      </c>
      <c r="D101" s="38">
        <v>2.92E-2</v>
      </c>
      <c r="E101" s="38">
        <v>1.52E-2</v>
      </c>
      <c r="F101" s="38">
        <v>1.47E-2</v>
      </c>
      <c r="G101" s="38">
        <v>9.2100000000000001E-2</v>
      </c>
      <c r="H101" s="38">
        <v>7.0699999999999999E-2</v>
      </c>
      <c r="I101" s="38">
        <v>7.17E-2</v>
      </c>
      <c r="J101" s="38">
        <v>-6.5699999999999995E-2</v>
      </c>
      <c r="K101" s="38">
        <v>-2.7E-2</v>
      </c>
      <c r="L101" s="38">
        <v>-6.7299999999999999E-2</v>
      </c>
      <c r="M101" s="38">
        <v>0.02</v>
      </c>
      <c r="N101" s="17">
        <v>0.69</v>
      </c>
      <c r="O101" s="17">
        <v>1.1999999999999999E-3</v>
      </c>
      <c r="P101" s="17">
        <v>0.38</v>
      </c>
      <c r="Q101" s="17">
        <v>0.15</v>
      </c>
      <c r="R101" s="17">
        <v>0.96099999999999997</v>
      </c>
      <c r="S101" s="17">
        <v>0.93</v>
      </c>
      <c r="T101" s="17">
        <v>20081231</v>
      </c>
      <c r="U101" s="17">
        <v>20190731</v>
      </c>
      <c r="V101" s="17">
        <v>128</v>
      </c>
    </row>
    <row r="102" spans="1:22" hidden="1">
      <c r="A102" s="17" t="s">
        <v>1477</v>
      </c>
      <c r="B102" s="38">
        <v>2.3E-2</v>
      </c>
      <c r="C102" s="38">
        <v>1.09E-2</v>
      </c>
      <c r="D102" s="38">
        <v>-2.0000000000000001E-4</v>
      </c>
      <c r="E102" s="38">
        <v>8.6999999999999994E-3</v>
      </c>
      <c r="F102" s="38">
        <v>5.0999999999999997E-2</v>
      </c>
      <c r="G102" s="38">
        <v>1.9900000000000001E-2</v>
      </c>
      <c r="H102" s="38">
        <v>2.3199999999999998E-2</v>
      </c>
      <c r="I102" s="38">
        <v>1.23E-2</v>
      </c>
      <c r="J102" s="38">
        <v>1.8800000000000001E-2</v>
      </c>
      <c r="K102" s="38">
        <v>7.3000000000000001E-3</v>
      </c>
      <c r="L102" s="38">
        <v>1.6799999999999999E-2</v>
      </c>
      <c r="M102" s="38">
        <v>1.7000000000000001E-2</v>
      </c>
      <c r="N102" s="17">
        <v>1.24</v>
      </c>
      <c r="O102" s="17">
        <v>1.1999999999999999E-3</v>
      </c>
      <c r="P102" s="17">
        <v>0.74</v>
      </c>
      <c r="Q102" s="17">
        <v>0.35</v>
      </c>
      <c r="R102" s="17">
        <v>0.95899999999999996</v>
      </c>
      <c r="S102" s="17">
        <v>0.98</v>
      </c>
      <c r="T102" s="17">
        <v>20081231</v>
      </c>
      <c r="U102" s="17">
        <v>20190731</v>
      </c>
      <c r="V102" s="17">
        <v>128</v>
      </c>
    </row>
    <row r="103" spans="1:22" hidden="1">
      <c r="A103" s="17" t="s">
        <v>1492</v>
      </c>
      <c r="B103" s="38">
        <v>-2.0799999999999999E-2</v>
      </c>
      <c r="C103" s="38">
        <v>1.6799999999999999E-2</v>
      </c>
      <c r="D103" s="38">
        <v>-1E-3</v>
      </c>
      <c r="E103" s="38">
        <v>2.3999999999999998E-3</v>
      </c>
      <c r="F103" s="38">
        <v>0.04</v>
      </c>
      <c r="G103" s="38">
        <v>-6.54E-2</v>
      </c>
      <c r="H103" s="38">
        <v>3.3E-3</v>
      </c>
      <c r="I103" s="38">
        <v>3.6999999999999998E-2</v>
      </c>
      <c r="J103" s="38">
        <v>8.3699999999999997E-2</v>
      </c>
      <c r="K103" s="38">
        <v>4.0800000000000003E-2</v>
      </c>
      <c r="L103" s="38">
        <v>6.4799999999999996E-2</v>
      </c>
      <c r="M103" s="38">
        <v>1.7000000000000001E-2</v>
      </c>
      <c r="N103" s="17">
        <v>0.65</v>
      </c>
      <c r="O103" s="34">
        <v>8.9999999999999998E-4</v>
      </c>
      <c r="P103" s="17">
        <v>0.32</v>
      </c>
      <c r="Q103" s="17">
        <v>0.43</v>
      </c>
      <c r="R103" s="17">
        <v>0.94499999999999995</v>
      </c>
      <c r="S103" s="17">
        <v>0.97</v>
      </c>
      <c r="T103" s="17">
        <v>20081231</v>
      </c>
      <c r="U103" s="17">
        <v>20190731</v>
      </c>
      <c r="V103" s="17">
        <v>128</v>
      </c>
    </row>
    <row r="104" spans="1:22" hidden="1">
      <c r="A104" s="17" t="s">
        <v>681</v>
      </c>
      <c r="B104" s="38">
        <v>2.93E-2</v>
      </c>
      <c r="C104" s="38">
        <v>1.04E-2</v>
      </c>
      <c r="D104" s="38">
        <v>4.1500000000000002E-2</v>
      </c>
      <c r="E104" s="38">
        <v>4.0300000000000002E-2</v>
      </c>
      <c r="F104" s="38">
        <v>-6.6E-3</v>
      </c>
      <c r="G104" s="38">
        <v>2.29E-2</v>
      </c>
      <c r="H104" s="38">
        <v>5.5599999999999997E-2</v>
      </c>
      <c r="I104" s="38">
        <v>6.1400000000000003E-2</v>
      </c>
      <c r="J104" s="38">
        <v>-5.9299999999999999E-2</v>
      </c>
      <c r="K104" s="38">
        <v>-1.6E-2</v>
      </c>
      <c r="L104" s="38">
        <v>-5.1000000000000004E-3</v>
      </c>
      <c r="M104" s="38">
        <v>1.7000000000000001E-2</v>
      </c>
      <c r="N104" s="17">
        <v>0.64</v>
      </c>
      <c r="O104" s="34">
        <v>6.9999999999999999E-4</v>
      </c>
      <c r="P104" s="17">
        <v>0.3</v>
      </c>
      <c r="Q104" s="17">
        <v>0.18</v>
      </c>
      <c r="R104" s="17">
        <v>0.999</v>
      </c>
      <c r="S104" s="17">
        <v>0.73</v>
      </c>
      <c r="T104" s="17">
        <v>20081231</v>
      </c>
      <c r="U104" s="17">
        <v>20190731</v>
      </c>
      <c r="V104" s="17">
        <v>128</v>
      </c>
    </row>
    <row r="105" spans="1:22">
      <c r="A105" s="17" t="s">
        <v>1579</v>
      </c>
      <c r="B105" s="38">
        <v>-2.5000000000000001E-3</v>
      </c>
      <c r="C105" s="38">
        <v>2.8299999999999999E-2</v>
      </c>
      <c r="D105" s="38">
        <v>1.2200000000000001E-2</v>
      </c>
      <c r="E105" s="38">
        <v>0.03</v>
      </c>
      <c r="F105" s="38">
        <v>4.7399999999999998E-2</v>
      </c>
      <c r="G105" s="38">
        <v>-4.1799999999999997E-2</v>
      </c>
      <c r="H105" s="38">
        <v>4.02E-2</v>
      </c>
      <c r="I105" s="38">
        <v>3.7699999999999997E-2</v>
      </c>
      <c r="J105" s="38">
        <v>5.5199999999999999E-2</v>
      </c>
      <c r="K105" s="38">
        <v>4.3700000000000003E-2</v>
      </c>
      <c r="L105" s="38">
        <v>6.1499999999999999E-2</v>
      </c>
      <c r="M105" s="38">
        <v>2.7E-2</v>
      </c>
      <c r="N105" s="17">
        <v>1.06</v>
      </c>
      <c r="O105" s="17">
        <v>1.6000000000000001E-3</v>
      </c>
      <c r="P105" s="17">
        <v>0.75</v>
      </c>
      <c r="Q105" s="17">
        <v>0.82</v>
      </c>
      <c r="R105" s="17">
        <v>0.96299999999999997</v>
      </c>
      <c r="S105" s="17">
        <v>0.96</v>
      </c>
      <c r="T105" s="17">
        <v>20081231</v>
      </c>
      <c r="U105" s="17">
        <v>20190731</v>
      </c>
      <c r="V105" s="17">
        <v>128</v>
      </c>
    </row>
    <row r="106" spans="1:22" hidden="1">
      <c r="A106" s="17" t="s">
        <v>1474</v>
      </c>
      <c r="B106" s="38">
        <v>-1.24E-2</v>
      </c>
      <c r="C106" s="38">
        <v>4.3E-3</v>
      </c>
      <c r="D106" s="38">
        <v>6.1000000000000004E-3</v>
      </c>
      <c r="E106" s="38">
        <v>9.4999999999999998E-3</v>
      </c>
      <c r="F106" s="38">
        <v>3.4500000000000003E-2</v>
      </c>
      <c r="G106" s="38">
        <v>7.3000000000000001E-3</v>
      </c>
      <c r="H106" s="38">
        <v>3.95E-2</v>
      </c>
      <c r="I106" s="38">
        <v>4.6399999999999997E-2</v>
      </c>
      <c r="J106" s="38">
        <v>-2.0299999999999999E-2</v>
      </c>
      <c r="K106" s="38">
        <v>4.2200000000000001E-2</v>
      </c>
      <c r="L106" s="38">
        <v>-2.7000000000000001E-3</v>
      </c>
      <c r="M106" s="38">
        <v>1.4999999999999999E-2</v>
      </c>
      <c r="N106" s="17">
        <v>0.74</v>
      </c>
      <c r="O106" s="17">
        <v>1.1000000000000001E-3</v>
      </c>
      <c r="P106" s="17">
        <v>0.82</v>
      </c>
      <c r="Q106" s="17">
        <v>0.5</v>
      </c>
      <c r="R106" s="17">
        <v>0.96299999999999997</v>
      </c>
      <c r="S106" s="17">
        <v>0.96</v>
      </c>
      <c r="T106" s="17">
        <v>20081231</v>
      </c>
      <c r="U106" s="17">
        <v>20190731</v>
      </c>
      <c r="V106" s="17">
        <v>128</v>
      </c>
    </row>
    <row r="107" spans="1:22" hidden="1">
      <c r="A107" s="17" t="s">
        <v>1509</v>
      </c>
      <c r="B107" s="38">
        <v>5.2600000000000001E-2</v>
      </c>
      <c r="C107" s="38">
        <v>-3.0200000000000001E-2</v>
      </c>
      <c r="D107" s="38">
        <v>1.66E-2</v>
      </c>
      <c r="E107" s="38">
        <v>1.0500000000000001E-2</v>
      </c>
      <c r="F107" s="38">
        <v>-1.32E-2</v>
      </c>
      <c r="G107" s="38">
        <v>0.1081</v>
      </c>
      <c r="H107" s="38">
        <v>1.29E-2</v>
      </c>
      <c r="I107" s="38">
        <v>3.6200000000000003E-2</v>
      </c>
      <c r="J107" s="38">
        <v>-5.0500000000000003E-2</v>
      </c>
      <c r="K107" s="38">
        <v>-1.35E-2</v>
      </c>
      <c r="L107" s="38">
        <v>-2.1399999999999999E-2</v>
      </c>
      <c r="M107" s="38">
        <v>1.0999999999999999E-2</v>
      </c>
      <c r="N107" s="17">
        <v>0.3</v>
      </c>
      <c r="O107" s="34">
        <v>8.0000000000000004E-4</v>
      </c>
      <c r="P107" s="17">
        <v>0.25</v>
      </c>
      <c r="Q107" s="17">
        <v>0.1</v>
      </c>
      <c r="R107" s="17">
        <v>0.999</v>
      </c>
      <c r="S107" s="17">
        <v>0.98</v>
      </c>
      <c r="T107" s="17">
        <v>20081231</v>
      </c>
      <c r="U107" s="17">
        <v>20190731</v>
      </c>
      <c r="V107" s="17">
        <v>128</v>
      </c>
    </row>
    <row r="108" spans="1:22" hidden="1">
      <c r="A108" s="17" t="s">
        <v>1475</v>
      </c>
      <c r="B108" s="38">
        <v>-1.41E-2</v>
      </c>
      <c r="C108" s="38">
        <v>9.7000000000000003E-3</v>
      </c>
      <c r="D108" s="38">
        <v>-1.2999999999999999E-3</v>
      </c>
      <c r="E108" s="38">
        <v>-2E-3</v>
      </c>
      <c r="F108" s="38">
        <v>2.7300000000000001E-2</v>
      </c>
      <c r="G108" s="38">
        <v>-2.8999999999999998E-3</v>
      </c>
      <c r="H108" s="38">
        <v>3.27E-2</v>
      </c>
      <c r="I108" s="38">
        <v>3.7999999999999999E-2</v>
      </c>
      <c r="J108" s="38">
        <v>-2.4799999999999999E-2</v>
      </c>
      <c r="K108" s="38">
        <v>3.6299999999999999E-2</v>
      </c>
      <c r="L108" s="38">
        <v>0</v>
      </c>
      <c r="M108" s="38">
        <v>8.9999999999999993E-3</v>
      </c>
      <c r="N108" s="17">
        <v>0.48</v>
      </c>
      <c r="O108" s="34">
        <v>8.0000000000000004E-4</v>
      </c>
      <c r="P108" s="17">
        <v>0.6</v>
      </c>
      <c r="Q108" s="17">
        <v>0.35</v>
      </c>
      <c r="R108" s="17">
        <v>0.96299999999999997</v>
      </c>
      <c r="S108" s="17">
        <v>0.98</v>
      </c>
      <c r="T108" s="17">
        <v>20081231</v>
      </c>
      <c r="U108" s="17">
        <v>20190731</v>
      </c>
      <c r="V108" s="17">
        <v>128</v>
      </c>
    </row>
    <row r="109" spans="1:22" hidden="1">
      <c r="A109" s="17" t="s">
        <v>1531</v>
      </c>
      <c r="B109" s="38">
        <v>-1.43E-2</v>
      </c>
      <c r="C109" s="38">
        <v>-1.1000000000000001E-3</v>
      </c>
      <c r="D109" s="38">
        <v>-4.82E-2</v>
      </c>
      <c r="E109" s="38">
        <v>-1.8800000000000001E-2</v>
      </c>
      <c r="F109" s="38">
        <v>6.7000000000000002E-3</v>
      </c>
      <c r="G109" s="38">
        <v>1.67E-2</v>
      </c>
      <c r="H109" s="38">
        <v>-3.3500000000000002E-2</v>
      </c>
      <c r="I109" s="38">
        <v>2.3199999999999998E-2</v>
      </c>
      <c r="J109" s="38">
        <v>7.6300000000000007E-2</v>
      </c>
      <c r="K109" s="38">
        <v>5.0299999999999997E-2</v>
      </c>
      <c r="L109" s="38">
        <v>3.4000000000000002E-2</v>
      </c>
      <c r="M109" s="38">
        <v>8.0000000000000002E-3</v>
      </c>
      <c r="N109" s="17">
        <v>0.3</v>
      </c>
      <c r="O109" s="34">
        <v>2.0000000000000001E-4</v>
      </c>
      <c r="P109" s="17">
        <v>0.08</v>
      </c>
      <c r="Q109" s="17">
        <v>0.1</v>
      </c>
      <c r="R109" s="17">
        <v>0.96399999999999997</v>
      </c>
      <c r="S109" s="17">
        <v>0.75</v>
      </c>
      <c r="T109" s="17">
        <v>20081231</v>
      </c>
      <c r="U109" s="17">
        <v>20190731</v>
      </c>
      <c r="V109" s="17">
        <v>128</v>
      </c>
    </row>
    <row r="110" spans="1:22" hidden="1">
      <c r="A110" s="17" t="s">
        <v>1543</v>
      </c>
      <c r="B110" s="38">
        <v>2.8400000000000002E-2</v>
      </c>
      <c r="C110" s="38">
        <v>-2.5000000000000001E-3</v>
      </c>
      <c r="D110" s="38">
        <v>2.9100000000000001E-2</v>
      </c>
      <c r="E110" s="38">
        <v>5.1000000000000004E-3</v>
      </c>
      <c r="F110" s="38">
        <v>1.6999999999999999E-3</v>
      </c>
      <c r="G110" s="38">
        <v>4.1000000000000002E-2</v>
      </c>
      <c r="H110" s="38">
        <v>4.8500000000000001E-2</v>
      </c>
      <c r="I110" s="38">
        <v>2.4E-2</v>
      </c>
      <c r="J110" s="38">
        <v>-4.7399999999999998E-2</v>
      </c>
      <c r="K110" s="38">
        <v>-2.58E-2</v>
      </c>
      <c r="L110" s="38">
        <v>-2.69E-2</v>
      </c>
      <c r="M110" s="38">
        <v>8.0000000000000002E-3</v>
      </c>
      <c r="N110" s="17">
        <v>0.32</v>
      </c>
      <c r="O110" s="34">
        <v>5.0000000000000001E-4</v>
      </c>
      <c r="P110" s="17">
        <v>0.22</v>
      </c>
      <c r="Q110" s="17">
        <v>0.08</v>
      </c>
      <c r="R110" s="17">
        <v>0.96199999999999997</v>
      </c>
      <c r="S110" s="17">
        <v>0.47</v>
      </c>
      <c r="T110" s="17">
        <v>20081231</v>
      </c>
      <c r="U110" s="17">
        <v>20190731</v>
      </c>
      <c r="V110" s="17">
        <v>128</v>
      </c>
    </row>
    <row r="111" spans="1:22" hidden="1">
      <c r="A111" s="17" t="s">
        <v>1541</v>
      </c>
      <c r="B111" s="38">
        <v>3.2000000000000001E-2</v>
      </c>
      <c r="C111" s="38">
        <v>-5.0000000000000001E-4</v>
      </c>
      <c r="D111" s="38">
        <v>1.9400000000000001E-2</v>
      </c>
      <c r="E111" s="38">
        <v>4.0000000000000002E-4</v>
      </c>
      <c r="F111" s="38">
        <v>6.6E-3</v>
      </c>
      <c r="G111" s="38">
        <v>8.2299999999999998E-2</v>
      </c>
      <c r="H111" s="38">
        <v>2.2499999999999999E-2</v>
      </c>
      <c r="I111" s="38">
        <v>6.5299999999999997E-2</v>
      </c>
      <c r="J111" s="38">
        <v>-7.1999999999999995E-2</v>
      </c>
      <c r="K111" s="38">
        <v>-2.53E-2</v>
      </c>
      <c r="L111" s="38">
        <v>-7.7100000000000002E-2</v>
      </c>
      <c r="M111" s="38">
        <v>7.0000000000000001E-3</v>
      </c>
      <c r="N111" s="17">
        <v>0.27</v>
      </c>
      <c r="O111" s="34">
        <v>1E-4</v>
      </c>
      <c r="P111" s="17">
        <v>0.03</v>
      </c>
      <c r="Q111" s="17">
        <v>-0.1</v>
      </c>
      <c r="R111" s="17">
        <v>0.95899999999999996</v>
      </c>
      <c r="S111" s="17">
        <v>0.93</v>
      </c>
      <c r="T111" s="17">
        <v>20081231</v>
      </c>
      <c r="U111" s="17">
        <v>20190731</v>
      </c>
      <c r="V111" s="17">
        <v>128</v>
      </c>
    </row>
    <row r="112" spans="1:22" hidden="1">
      <c r="A112" s="17" t="s">
        <v>1527</v>
      </c>
      <c r="B112" s="38">
        <v>-2.6499999999999999E-2</v>
      </c>
      <c r="C112" s="38">
        <v>3.15E-2</v>
      </c>
      <c r="D112" s="38">
        <v>-2.3300000000000001E-2</v>
      </c>
      <c r="E112" s="38">
        <v>2.9000000000000001E-2</v>
      </c>
      <c r="F112" s="38">
        <v>2.2200000000000001E-2</v>
      </c>
      <c r="G112" s="38">
        <v>-3.5000000000000003E-2</v>
      </c>
      <c r="H112" s="38">
        <v>-8.6999999999999994E-3</v>
      </c>
      <c r="I112" s="38">
        <v>-6.5299999999999997E-2</v>
      </c>
      <c r="J112" s="38">
        <v>7.9899999999999999E-2</v>
      </c>
      <c r="K112" s="38">
        <v>1.8499999999999999E-2</v>
      </c>
      <c r="L112" s="38">
        <v>5.4899999999999997E-2</v>
      </c>
      <c r="M112" s="38">
        <v>6.0000000000000001E-3</v>
      </c>
      <c r="N112" s="17">
        <v>0.2</v>
      </c>
      <c r="O112" s="17">
        <v>1.1999999999999999E-3</v>
      </c>
      <c r="P112" s="17">
        <v>0.47</v>
      </c>
      <c r="Q112" s="17">
        <v>0.42</v>
      </c>
      <c r="R112" s="17">
        <v>0.999</v>
      </c>
      <c r="S112" s="17">
        <v>0.93</v>
      </c>
      <c r="T112" s="17">
        <v>20081231</v>
      </c>
      <c r="U112" s="17">
        <v>20190731</v>
      </c>
      <c r="V112" s="17">
        <v>128</v>
      </c>
    </row>
    <row r="113" spans="1:22" hidden="1">
      <c r="A113" s="17" t="s">
        <v>1471</v>
      </c>
      <c r="B113" s="38">
        <v>-1.5800000000000002E-2</v>
      </c>
      <c r="C113" s="38">
        <v>1.37E-2</v>
      </c>
      <c r="D113" s="38">
        <v>-6.7000000000000002E-3</v>
      </c>
      <c r="E113" s="38">
        <v>-1.1599999999999999E-2</v>
      </c>
      <c r="F113" s="38">
        <v>2.4199999999999999E-2</v>
      </c>
      <c r="G113" s="38">
        <v>-5.7000000000000002E-3</v>
      </c>
      <c r="H113" s="38">
        <v>2.7699999999999999E-2</v>
      </c>
      <c r="I113" s="38">
        <v>2.2499999999999999E-2</v>
      </c>
      <c r="J113" s="38">
        <v>-2.3699999999999999E-2</v>
      </c>
      <c r="K113" s="38">
        <v>3.5099999999999999E-2</v>
      </c>
      <c r="L113" s="38">
        <v>-4.0000000000000001E-3</v>
      </c>
      <c r="M113" s="38">
        <v>5.0000000000000001E-3</v>
      </c>
      <c r="N113" s="17">
        <v>0.27</v>
      </c>
      <c r="O113" s="34">
        <v>6.9999999999999999E-4</v>
      </c>
      <c r="P113" s="17">
        <v>0.57999999999999996</v>
      </c>
      <c r="Q113" s="17">
        <v>0.31</v>
      </c>
      <c r="R113" s="17">
        <v>0.97</v>
      </c>
      <c r="S113" s="17">
        <v>0.98</v>
      </c>
      <c r="T113" s="17">
        <v>20081231</v>
      </c>
      <c r="U113" s="17">
        <v>20190731</v>
      </c>
      <c r="V113" s="17">
        <v>128</v>
      </c>
    </row>
    <row r="114" spans="1:22" hidden="1">
      <c r="A114" s="17" t="s">
        <v>1526</v>
      </c>
      <c r="B114" s="38">
        <v>-5.4899999999999997E-2</v>
      </c>
      <c r="C114" s="38">
        <v>2.4799999999999999E-2</v>
      </c>
      <c r="D114" s="38">
        <v>-1.18E-2</v>
      </c>
      <c r="E114" s="38">
        <v>1.3100000000000001E-2</v>
      </c>
      <c r="F114" s="38">
        <v>3.2000000000000001E-2</v>
      </c>
      <c r="G114" s="38">
        <v>-5.62E-2</v>
      </c>
      <c r="H114" s="38">
        <v>-5.2400000000000002E-2</v>
      </c>
      <c r="I114" s="38">
        <v>-4.9500000000000002E-2</v>
      </c>
      <c r="J114" s="38">
        <v>0.1004</v>
      </c>
      <c r="K114" s="38">
        <v>4.41E-2</v>
      </c>
      <c r="L114" s="38">
        <v>7.0499999999999993E-2</v>
      </c>
      <c r="M114" s="38">
        <v>3.0000000000000001E-3</v>
      </c>
      <c r="N114" s="17">
        <v>0.1</v>
      </c>
      <c r="O114" s="34">
        <v>5.0000000000000001E-4</v>
      </c>
      <c r="P114" s="17">
        <v>0.15</v>
      </c>
      <c r="Q114" s="17">
        <v>0.3</v>
      </c>
      <c r="R114" s="17">
        <v>0.999</v>
      </c>
      <c r="S114" s="17">
        <v>0.86</v>
      </c>
      <c r="T114" s="17">
        <v>20081231</v>
      </c>
      <c r="U114" s="17">
        <v>20190731</v>
      </c>
      <c r="V114" s="17">
        <v>128</v>
      </c>
    </row>
    <row r="115" spans="1:22" hidden="1">
      <c r="A115" s="17" t="s">
        <v>1538</v>
      </c>
      <c r="B115" s="38">
        <v>5.5899999999999998E-2</v>
      </c>
      <c r="C115" s="38">
        <v>-9.1999999999999998E-3</v>
      </c>
      <c r="D115" s="38">
        <v>9.7999999999999997E-3</v>
      </c>
      <c r="E115" s="38">
        <v>-2.6599999999999999E-2</v>
      </c>
      <c r="F115" s="38">
        <v>4.8999999999999998E-3</v>
      </c>
      <c r="G115" s="38">
        <v>5.1900000000000002E-2</v>
      </c>
      <c r="H115" s="38">
        <v>3.2800000000000003E-2</v>
      </c>
      <c r="I115" s="38">
        <v>4.1300000000000003E-2</v>
      </c>
      <c r="J115" s="38">
        <v>-6.4600000000000005E-2</v>
      </c>
      <c r="K115" s="38">
        <v>-2.6700000000000002E-2</v>
      </c>
      <c r="L115" s="38">
        <v>-5.3600000000000002E-2</v>
      </c>
      <c r="M115" s="38">
        <v>3.0000000000000001E-3</v>
      </c>
      <c r="N115" s="17">
        <v>0.11</v>
      </c>
      <c r="O115" s="34">
        <v>1E-4</v>
      </c>
      <c r="P115" s="17">
        <v>0.02</v>
      </c>
      <c r="Q115" s="17">
        <v>-0.1</v>
      </c>
      <c r="R115" s="17">
        <v>0.96899999999999997</v>
      </c>
      <c r="S115" s="17">
        <v>0.87</v>
      </c>
      <c r="T115" s="17">
        <v>20081231</v>
      </c>
      <c r="U115" s="17">
        <v>20190731</v>
      </c>
      <c r="V115" s="17">
        <v>128</v>
      </c>
    </row>
    <row r="116" spans="1:22" hidden="1">
      <c r="A116" s="17" t="s">
        <v>1545</v>
      </c>
      <c r="B116" s="38">
        <v>4.2099999999999999E-2</v>
      </c>
      <c r="C116" s="38">
        <v>-1.35E-2</v>
      </c>
      <c r="D116" s="38">
        <v>2.6700000000000002E-2</v>
      </c>
      <c r="E116" s="38">
        <v>1.5699999999999999E-2</v>
      </c>
      <c r="F116" s="38">
        <v>6.4999999999999997E-3</v>
      </c>
      <c r="G116" s="38">
        <v>2.87E-2</v>
      </c>
      <c r="H116" s="38">
        <v>3.6700000000000003E-2</v>
      </c>
      <c r="I116" s="38">
        <v>2.3599999999999999E-2</v>
      </c>
      <c r="J116" s="38">
        <v>-7.3700000000000002E-2</v>
      </c>
      <c r="K116" s="38">
        <v>-4.8300000000000003E-2</v>
      </c>
      <c r="L116" s="38">
        <v>-3.6700000000000003E-2</v>
      </c>
      <c r="M116" s="38">
        <v>2E-3</v>
      </c>
      <c r="N116" s="17">
        <v>7.0000000000000007E-2</v>
      </c>
      <c r="O116" s="17">
        <v>0</v>
      </c>
      <c r="P116" s="17">
        <v>-0.02</v>
      </c>
      <c r="Q116" s="17">
        <v>-0.12</v>
      </c>
      <c r="R116" s="17">
        <v>0.96399999999999997</v>
      </c>
      <c r="S116" s="17">
        <v>0.76</v>
      </c>
      <c r="T116" s="17">
        <v>20081231</v>
      </c>
      <c r="U116" s="17">
        <v>20190731</v>
      </c>
      <c r="V116" s="17">
        <v>128</v>
      </c>
    </row>
    <row r="117" spans="1:22" hidden="1">
      <c r="A117" s="17" t="s">
        <v>1473</v>
      </c>
      <c r="B117" s="38">
        <v>-3.2000000000000001E-2</v>
      </c>
      <c r="C117" s="38">
        <v>9.9000000000000008E-3</v>
      </c>
      <c r="D117" s="38">
        <v>-7.3000000000000001E-3</v>
      </c>
      <c r="E117" s="38">
        <v>-6.6E-3</v>
      </c>
      <c r="F117" s="38">
        <v>2.86E-2</v>
      </c>
      <c r="G117" s="38">
        <v>-1.4500000000000001E-2</v>
      </c>
      <c r="H117" s="38">
        <v>2.0199999999999999E-2</v>
      </c>
      <c r="I117" s="38">
        <v>-0.02</v>
      </c>
      <c r="J117" s="38">
        <v>-1.2999999999999999E-3</v>
      </c>
      <c r="K117" s="38">
        <v>3.0700000000000002E-2</v>
      </c>
      <c r="L117" s="38">
        <v>9.9000000000000008E-3</v>
      </c>
      <c r="M117" s="38">
        <v>1E-3</v>
      </c>
      <c r="N117" s="17">
        <v>7.0000000000000007E-2</v>
      </c>
      <c r="O117" s="34">
        <v>5.9999999999999995E-4</v>
      </c>
      <c r="P117" s="17">
        <v>0.49</v>
      </c>
      <c r="Q117" s="17">
        <v>0.26</v>
      </c>
      <c r="R117" s="17">
        <v>0.96099999999999997</v>
      </c>
      <c r="S117" s="17">
        <v>0.99</v>
      </c>
      <c r="T117" s="17">
        <v>20081231</v>
      </c>
      <c r="U117" s="17">
        <v>20190731</v>
      </c>
      <c r="V117" s="17">
        <v>128</v>
      </c>
    </row>
    <row r="118" spans="1:22" hidden="1">
      <c r="A118" s="17" t="s">
        <v>1528</v>
      </c>
      <c r="B118" s="38">
        <v>-2.98E-2</v>
      </c>
      <c r="C118" s="38">
        <v>-2.3999999999999998E-3</v>
      </c>
      <c r="D118" s="38">
        <v>-5.3999999999999999E-2</v>
      </c>
      <c r="E118" s="38">
        <v>-3.4099999999999998E-2</v>
      </c>
      <c r="F118" s="38">
        <v>1.6999999999999999E-3</v>
      </c>
      <c r="G118" s="38">
        <v>1.1599999999999999E-2</v>
      </c>
      <c r="H118" s="38">
        <v>-3.09E-2</v>
      </c>
      <c r="I118" s="38">
        <v>6.1999999999999998E-3</v>
      </c>
      <c r="J118" s="38">
        <v>6.8000000000000005E-2</v>
      </c>
      <c r="K118" s="38">
        <v>3.4200000000000001E-2</v>
      </c>
      <c r="L118" s="38">
        <v>3.8399999999999997E-2</v>
      </c>
      <c r="M118" s="38">
        <v>0</v>
      </c>
      <c r="N118" s="17">
        <v>-0.02</v>
      </c>
      <c r="O118" s="34">
        <v>2.0000000000000001E-4</v>
      </c>
      <c r="P118" s="17">
        <v>0.08</v>
      </c>
      <c r="Q118" s="17">
        <v>0.1</v>
      </c>
      <c r="R118" s="17">
        <v>0.96599999999999997</v>
      </c>
      <c r="S118" s="17">
        <v>0.81</v>
      </c>
      <c r="T118" s="17">
        <v>20081231</v>
      </c>
      <c r="U118" s="17">
        <v>20190731</v>
      </c>
      <c r="V118" s="17">
        <v>128</v>
      </c>
    </row>
    <row r="119" spans="1:22" hidden="1">
      <c r="A119" s="17" t="s">
        <v>1489</v>
      </c>
      <c r="B119" s="38">
        <v>-2.2700000000000001E-2</v>
      </c>
      <c r="C119" s="38">
        <v>4.4999999999999997E-3</v>
      </c>
      <c r="D119" s="38">
        <v>-2E-3</v>
      </c>
      <c r="E119" s="38">
        <v>-8.2000000000000007E-3</v>
      </c>
      <c r="F119" s="38">
        <v>1.4E-3</v>
      </c>
      <c r="G119" s="38">
        <v>-3.5099999999999999E-2</v>
      </c>
      <c r="H119" s="38">
        <v>-3.6900000000000002E-2</v>
      </c>
      <c r="I119" s="38">
        <v>-5.0599999999999999E-2</v>
      </c>
      <c r="J119" s="38">
        <v>6.6299999999999998E-2</v>
      </c>
      <c r="K119" s="38">
        <v>5.0299999999999997E-2</v>
      </c>
      <c r="L119" s="38">
        <v>3.8800000000000001E-2</v>
      </c>
      <c r="M119" s="38">
        <v>-1E-3</v>
      </c>
      <c r="N119" s="17">
        <v>-0.02</v>
      </c>
      <c r="O119" s="34">
        <v>4.0000000000000002E-4</v>
      </c>
      <c r="P119" s="17">
        <v>0.13</v>
      </c>
      <c r="Q119" s="17">
        <v>0.19</v>
      </c>
      <c r="R119" s="17">
        <v>0.995</v>
      </c>
      <c r="S119" s="17">
        <v>0.88</v>
      </c>
      <c r="T119" s="17">
        <v>20081231</v>
      </c>
      <c r="U119" s="17">
        <v>20190731</v>
      </c>
      <c r="V119" s="17">
        <v>128</v>
      </c>
    </row>
    <row r="120" spans="1:22" hidden="1">
      <c r="A120" s="17" t="s">
        <v>1488</v>
      </c>
      <c r="B120" s="38">
        <v>-2.93E-2</v>
      </c>
      <c r="C120" s="38">
        <v>5.4999999999999997E-3</v>
      </c>
      <c r="D120" s="38">
        <v>-1.2500000000000001E-2</v>
      </c>
      <c r="E120" s="38">
        <v>-1.67E-2</v>
      </c>
      <c r="F120" s="38">
        <v>-1.8E-3</v>
      </c>
      <c r="G120" s="38">
        <v>-3.2800000000000003E-2</v>
      </c>
      <c r="H120" s="38">
        <v>-3.9800000000000002E-2</v>
      </c>
      <c r="I120" s="38">
        <v>-4.0500000000000001E-2</v>
      </c>
      <c r="J120" s="38">
        <v>6.6900000000000001E-2</v>
      </c>
      <c r="K120" s="38">
        <v>4.8300000000000003E-2</v>
      </c>
      <c r="L120" s="38">
        <v>4.1599999999999998E-2</v>
      </c>
      <c r="M120" s="38">
        <v>-2E-3</v>
      </c>
      <c r="N120" s="17">
        <v>-0.08</v>
      </c>
      <c r="O120" s="34">
        <v>2.0000000000000001E-4</v>
      </c>
      <c r="P120" s="17">
        <v>0.06</v>
      </c>
      <c r="Q120" s="17">
        <v>0.14000000000000001</v>
      </c>
      <c r="R120" s="17">
        <v>0.997</v>
      </c>
      <c r="S120" s="17">
        <v>0.87</v>
      </c>
      <c r="T120" s="17">
        <v>20081231</v>
      </c>
      <c r="U120" s="17">
        <v>20190731</v>
      </c>
      <c r="V120" s="17">
        <v>128</v>
      </c>
    </row>
    <row r="121" spans="1:22" hidden="1">
      <c r="A121" s="17" t="s">
        <v>1490</v>
      </c>
      <c r="B121" s="38">
        <v>-3.4299999999999997E-2</v>
      </c>
      <c r="C121" s="38">
        <v>9.5999999999999992E-3</v>
      </c>
      <c r="D121" s="38">
        <v>-2.5999999999999999E-3</v>
      </c>
      <c r="E121" s="38">
        <v>1.12E-2</v>
      </c>
      <c r="F121" s="38">
        <v>-5.9999999999999995E-4</v>
      </c>
      <c r="G121" s="38">
        <v>-4.5499999999999999E-2</v>
      </c>
      <c r="H121" s="38">
        <v>-4.5699999999999998E-2</v>
      </c>
      <c r="I121" s="38">
        <v>-4.8599999999999997E-2</v>
      </c>
      <c r="J121" s="38">
        <v>6.2199999999999998E-2</v>
      </c>
      <c r="K121" s="38">
        <v>4.4900000000000002E-2</v>
      </c>
      <c r="L121" s="38">
        <v>4.3499999999999997E-2</v>
      </c>
      <c r="M121" s="38">
        <v>-2E-3</v>
      </c>
      <c r="N121" s="17">
        <v>-0.06</v>
      </c>
      <c r="O121" s="34">
        <v>2.9999999999999997E-4</v>
      </c>
      <c r="P121" s="17">
        <v>0.09</v>
      </c>
      <c r="Q121" s="17">
        <v>0.16</v>
      </c>
      <c r="R121" s="17">
        <v>0.99299999999999999</v>
      </c>
      <c r="S121" s="17">
        <v>0.89</v>
      </c>
      <c r="T121" s="17">
        <v>20081231</v>
      </c>
      <c r="U121" s="17">
        <v>20190731</v>
      </c>
      <c r="V121" s="17">
        <v>128</v>
      </c>
    </row>
    <row r="122" spans="1:22" hidden="1">
      <c r="A122" s="17" t="s">
        <v>1529</v>
      </c>
      <c r="B122" s="38">
        <v>-4.2299999999999997E-2</v>
      </c>
      <c r="C122" s="38">
        <v>-4.0000000000000001E-3</v>
      </c>
      <c r="D122" s="38">
        <v>-4.9500000000000002E-2</v>
      </c>
      <c r="E122" s="38">
        <v>-2.4899999999999999E-2</v>
      </c>
      <c r="F122" s="38">
        <v>-1.7500000000000002E-2</v>
      </c>
      <c r="G122" s="38">
        <v>5.7000000000000002E-3</v>
      </c>
      <c r="H122" s="38">
        <v>-2.47E-2</v>
      </c>
      <c r="I122" s="38">
        <v>8.0000000000000004E-4</v>
      </c>
      <c r="J122" s="38">
        <v>6.0699999999999997E-2</v>
      </c>
      <c r="K122" s="38">
        <v>3.2399999999999998E-2</v>
      </c>
      <c r="L122" s="38">
        <v>5.6599999999999998E-2</v>
      </c>
      <c r="M122" s="38">
        <v>-2E-3</v>
      </c>
      <c r="N122" s="17">
        <v>-0.1</v>
      </c>
      <c r="O122" s="34">
        <v>1E-4</v>
      </c>
      <c r="P122" s="17">
        <v>0.04</v>
      </c>
      <c r="Q122" s="17">
        <v>0.09</v>
      </c>
      <c r="R122" s="17">
        <v>0.96899999999999997</v>
      </c>
      <c r="S122" s="17">
        <v>0.87</v>
      </c>
      <c r="T122" s="17">
        <v>20081231</v>
      </c>
      <c r="U122" s="17">
        <v>20190731</v>
      </c>
      <c r="V122" s="17">
        <v>128</v>
      </c>
    </row>
    <row r="123" spans="1:22" hidden="1">
      <c r="A123" s="17" t="s">
        <v>1487</v>
      </c>
      <c r="B123" s="38">
        <v>-4.3200000000000002E-2</v>
      </c>
      <c r="C123" s="38">
        <v>1.3599999999999999E-2</v>
      </c>
      <c r="D123" s="38">
        <v>-3.5000000000000001E-3</v>
      </c>
      <c r="E123" s="38">
        <v>1.9699999999999999E-2</v>
      </c>
      <c r="F123" s="38">
        <v>-2.9999999999999997E-4</v>
      </c>
      <c r="G123" s="38">
        <v>-4.6899999999999997E-2</v>
      </c>
      <c r="H123" s="38">
        <v>-5.6300000000000003E-2</v>
      </c>
      <c r="I123" s="38">
        <v>-5.0599999999999999E-2</v>
      </c>
      <c r="J123" s="38">
        <v>6.4000000000000001E-2</v>
      </c>
      <c r="K123" s="38">
        <v>4.2599999999999999E-2</v>
      </c>
      <c r="L123" s="38">
        <v>4.8399999999999999E-2</v>
      </c>
      <c r="M123" s="38">
        <v>-3.0000000000000001E-3</v>
      </c>
      <c r="N123" s="17">
        <v>-0.09</v>
      </c>
      <c r="O123" s="17">
        <v>0</v>
      </c>
      <c r="P123" s="17">
        <v>0.01</v>
      </c>
      <c r="Q123" s="17">
        <v>0.12</v>
      </c>
      <c r="R123" s="17">
        <v>0.99</v>
      </c>
      <c r="S123" s="17">
        <v>0.9</v>
      </c>
      <c r="T123" s="17">
        <v>20081231</v>
      </c>
      <c r="U123" s="17">
        <v>20190731</v>
      </c>
      <c r="V123" s="17">
        <v>128</v>
      </c>
    </row>
    <row r="124" spans="1:22" hidden="1">
      <c r="A124" s="17" t="s">
        <v>1604</v>
      </c>
      <c r="B124" s="38">
        <v>-8.2699999999999996E-2</v>
      </c>
      <c r="C124" s="38">
        <v>2.3800000000000002E-2</v>
      </c>
      <c r="D124" s="38">
        <v>-4.9299999999999997E-2</v>
      </c>
      <c r="E124" s="38">
        <v>-6.4999999999999997E-3</v>
      </c>
      <c r="F124" s="38">
        <v>3.1399999999999997E-2</v>
      </c>
      <c r="G124" s="38">
        <v>-1.8599999999999998E-2</v>
      </c>
      <c r="H124" s="38">
        <v>-0.1074</v>
      </c>
      <c r="I124" s="38">
        <v>-3.1800000000000002E-2</v>
      </c>
      <c r="J124" s="38">
        <v>6.5699999999999995E-2</v>
      </c>
      <c r="K124" s="38">
        <v>5.1900000000000002E-2</v>
      </c>
      <c r="L124" s="38">
        <v>4.4699999999999997E-2</v>
      </c>
      <c r="M124" s="38">
        <v>-8.9999999999999993E-3</v>
      </c>
      <c r="N124" s="17">
        <v>-0.24</v>
      </c>
      <c r="O124" s="34">
        <v>-4.0000000000000002E-4</v>
      </c>
      <c r="P124" s="17">
        <v>-0.12</v>
      </c>
      <c r="Q124" s="17">
        <v>-0.02</v>
      </c>
      <c r="R124" s="17">
        <v>0.99299999999999999</v>
      </c>
      <c r="S124" s="17">
        <v>0.8</v>
      </c>
      <c r="T124" s="17">
        <v>20081231</v>
      </c>
      <c r="U124" s="17">
        <v>20190731</v>
      </c>
      <c r="V124" s="17">
        <v>128</v>
      </c>
    </row>
    <row r="125" spans="1:22" hidden="1">
      <c r="A125" s="17" t="s">
        <v>1530</v>
      </c>
      <c r="B125" s="38">
        <v>-3.2500000000000001E-2</v>
      </c>
      <c r="C125" s="38">
        <v>-4.7000000000000002E-3</v>
      </c>
      <c r="D125" s="38">
        <v>-3.2599999999999997E-2</v>
      </c>
      <c r="E125" s="38">
        <v>-1.52E-2</v>
      </c>
      <c r="F125" s="38">
        <v>-3.2500000000000001E-2</v>
      </c>
      <c r="G125" s="38">
        <v>-4.4400000000000002E-2</v>
      </c>
      <c r="H125" s="38">
        <v>-1.9199999999999998E-2</v>
      </c>
      <c r="I125" s="38">
        <v>-1.9199999999999998E-2</v>
      </c>
      <c r="J125" s="38">
        <v>-1.6899999999999998E-2</v>
      </c>
      <c r="K125" s="38">
        <v>2.2599999999999999E-2</v>
      </c>
      <c r="L125" s="38">
        <v>4.7199999999999999E-2</v>
      </c>
      <c r="M125" s="38">
        <v>-1.4999999999999999E-2</v>
      </c>
      <c r="N125" s="17">
        <v>-0.79</v>
      </c>
      <c r="O125" s="34">
        <v>-2.0000000000000001E-4</v>
      </c>
      <c r="P125" s="17">
        <v>-0.11</v>
      </c>
      <c r="Q125" s="17">
        <v>0.06</v>
      </c>
      <c r="R125" s="17">
        <v>0.95899999999999996</v>
      </c>
      <c r="S125" s="17">
        <v>0.94</v>
      </c>
      <c r="T125" s="17">
        <v>20081231</v>
      </c>
      <c r="U125" s="17">
        <v>20190731</v>
      </c>
      <c r="V125" s="17">
        <v>128</v>
      </c>
    </row>
    <row r="126" spans="1:22" hidden="1">
      <c r="A126" s="17" t="s">
        <v>1603</v>
      </c>
      <c r="B126" s="38">
        <v>-2.41E-2</v>
      </c>
      <c r="C126" s="38">
        <v>5.3E-3</v>
      </c>
      <c r="D126" s="38">
        <v>-1.4E-2</v>
      </c>
      <c r="E126" s="38">
        <v>5.6500000000000002E-2</v>
      </c>
      <c r="F126" s="38">
        <v>-4.2700000000000002E-2</v>
      </c>
      <c r="G126" s="38">
        <v>-6.1699999999999998E-2</v>
      </c>
      <c r="H126" s="38">
        <v>-4.8599999999999997E-2</v>
      </c>
      <c r="I126" s="38">
        <v>-8.77E-2</v>
      </c>
      <c r="J126" s="38">
        <v>-3.0000000000000001E-3</v>
      </c>
      <c r="K126" s="38">
        <v>-1.18E-2</v>
      </c>
      <c r="L126" s="38">
        <v>4.7000000000000002E-3</v>
      </c>
      <c r="M126" s="38">
        <v>-2.1000000000000001E-2</v>
      </c>
      <c r="N126" s="17">
        <v>-0.72</v>
      </c>
      <c r="O126" s="17">
        <v>-1.1000000000000001E-3</v>
      </c>
      <c r="P126" s="17">
        <v>-0.34</v>
      </c>
      <c r="Q126" s="17">
        <v>-0.24</v>
      </c>
      <c r="R126" s="17">
        <v>0.96299999999999997</v>
      </c>
      <c r="S126" s="17">
        <v>0.84</v>
      </c>
      <c r="T126" s="17">
        <v>20081231</v>
      </c>
      <c r="U126" s="17">
        <v>20190731</v>
      </c>
      <c r="V126" s="17">
        <v>128</v>
      </c>
    </row>
    <row r="127" spans="1:22" hidden="1">
      <c r="A127" s="17" t="s">
        <v>1602</v>
      </c>
      <c r="B127" s="38">
        <v>-4.5600000000000002E-2</v>
      </c>
      <c r="C127" s="38">
        <v>3.4700000000000002E-2</v>
      </c>
      <c r="D127" s="38">
        <v>-0.01</v>
      </c>
      <c r="E127" s="38">
        <v>3.5000000000000003E-2</v>
      </c>
      <c r="F127" s="38">
        <v>-2.92E-2</v>
      </c>
      <c r="G127" s="38">
        <v>-5.9200000000000003E-2</v>
      </c>
      <c r="H127" s="38">
        <v>-5.1700000000000003E-2</v>
      </c>
      <c r="I127" s="38">
        <v>-7.7299999999999994E-2</v>
      </c>
      <c r="J127" s="38">
        <v>-3.5999999999999999E-3</v>
      </c>
      <c r="K127" s="38">
        <v>-1.9300000000000001E-2</v>
      </c>
      <c r="L127" s="38">
        <v>-2.3400000000000001E-2</v>
      </c>
      <c r="M127" s="38">
        <v>-2.3E-2</v>
      </c>
      <c r="N127" s="17">
        <v>-0.76</v>
      </c>
      <c r="O127" s="17">
        <v>-1.1999999999999999E-3</v>
      </c>
      <c r="P127" s="17">
        <v>-0.37</v>
      </c>
      <c r="Q127" s="17">
        <v>-0.25</v>
      </c>
      <c r="R127" s="17">
        <v>0.96299999999999997</v>
      </c>
      <c r="S127" s="17">
        <v>0.68</v>
      </c>
      <c r="T127" s="17">
        <v>20081231</v>
      </c>
      <c r="U127" s="17">
        <v>20190731</v>
      </c>
      <c r="V127" s="17">
        <v>128</v>
      </c>
    </row>
    <row r="128" spans="1:22" hidden="1">
      <c r="A128" s="17" t="s">
        <v>1599</v>
      </c>
      <c r="B128" s="38">
        <v>-5.8999999999999999E-3</v>
      </c>
      <c r="C128" s="38">
        <v>-1.8100000000000002E-2</v>
      </c>
      <c r="D128" s="38">
        <v>5.9999999999999995E-4</v>
      </c>
      <c r="E128" s="38">
        <v>-6.8999999999999999E-3</v>
      </c>
      <c r="F128" s="38">
        <v>-6.9800000000000001E-2</v>
      </c>
      <c r="G128" s="38">
        <v>-7.46E-2</v>
      </c>
      <c r="H128" s="38">
        <v>-5.2699999999999997E-2</v>
      </c>
      <c r="I128" s="38">
        <v>-4.7500000000000001E-2</v>
      </c>
      <c r="J128" s="38">
        <v>1.35E-2</v>
      </c>
      <c r="K128" s="38">
        <v>-1.47E-2</v>
      </c>
      <c r="L128" s="38">
        <v>-1.4E-2</v>
      </c>
      <c r="M128" s="38">
        <v>-2.7E-2</v>
      </c>
      <c r="N128" s="17">
        <v>-0.96</v>
      </c>
      <c r="O128" s="17">
        <v>-1.6999999999999999E-3</v>
      </c>
      <c r="P128" s="17">
        <v>-0.54</v>
      </c>
      <c r="Q128" s="17">
        <v>-0.41</v>
      </c>
      <c r="R128" s="17">
        <v>0.97</v>
      </c>
      <c r="S128" s="17">
        <v>0.92</v>
      </c>
      <c r="T128" s="17">
        <v>20081231</v>
      </c>
      <c r="U128" s="17">
        <v>20190731</v>
      </c>
      <c r="V128" s="17">
        <v>128</v>
      </c>
    </row>
    <row r="129" spans="1:22" hidden="1">
      <c r="A129" s="17" t="s">
        <v>1601</v>
      </c>
      <c r="B129" s="38">
        <v>2.7799999999999998E-2</v>
      </c>
      <c r="C129" s="38">
        <v>-1.0800000000000001E-2</v>
      </c>
      <c r="D129" s="38">
        <v>-2.1899999999999999E-2</v>
      </c>
      <c r="E129" s="38">
        <v>-1.23E-2</v>
      </c>
      <c r="F129" s="38">
        <v>-4.6600000000000003E-2</v>
      </c>
      <c r="G129" s="38">
        <v>-6.7100000000000007E-2</v>
      </c>
      <c r="H129" s="38">
        <v>-4.5699999999999998E-2</v>
      </c>
      <c r="I129" s="38">
        <v>-3.9199999999999999E-2</v>
      </c>
      <c r="J129" s="38">
        <v>-3.9E-2</v>
      </c>
      <c r="K129" s="38">
        <v>-2.5000000000000001E-2</v>
      </c>
      <c r="L129" s="38">
        <v>-5.8999999999999999E-3</v>
      </c>
      <c r="M129" s="38">
        <v>-2.7E-2</v>
      </c>
      <c r="N129" s="17">
        <v>-1.25</v>
      </c>
      <c r="O129" s="17">
        <v>-1.4E-3</v>
      </c>
      <c r="P129" s="17">
        <v>-0.49</v>
      </c>
      <c r="Q129" s="17">
        <v>-0.36</v>
      </c>
      <c r="R129" s="17">
        <v>0.96099999999999997</v>
      </c>
      <c r="S129" s="17">
        <v>0.96</v>
      </c>
      <c r="T129" s="17">
        <v>20081231</v>
      </c>
      <c r="U129" s="17">
        <v>20190731</v>
      </c>
      <c r="V129" s="17">
        <v>128</v>
      </c>
    </row>
    <row r="130" spans="1:22" hidden="1">
      <c r="A130" s="17" t="s">
        <v>1600</v>
      </c>
      <c r="B130" s="38">
        <v>-6.4199999999999993E-2</v>
      </c>
      <c r="C130" s="38">
        <v>3.3999999999999998E-3</v>
      </c>
      <c r="D130" s="38">
        <v>-1.47E-2</v>
      </c>
      <c r="E130" s="38">
        <v>-2.5000000000000001E-3</v>
      </c>
      <c r="F130" s="38">
        <v>-2.63E-2</v>
      </c>
      <c r="G130" s="38">
        <v>-8.5000000000000006E-2</v>
      </c>
      <c r="H130" s="38">
        <v>-4.1599999999999998E-2</v>
      </c>
      <c r="I130" s="38">
        <v>-7.46E-2</v>
      </c>
      <c r="J130" s="38">
        <v>1.2999999999999999E-2</v>
      </c>
      <c r="K130" s="38">
        <v>7.0000000000000001E-3</v>
      </c>
      <c r="L130" s="38">
        <v>-3.1399999999999997E-2</v>
      </c>
      <c r="M130" s="38">
        <v>-2.9000000000000001E-2</v>
      </c>
      <c r="N130" s="17">
        <v>-1.07</v>
      </c>
      <c r="O130" s="17">
        <v>-1.8E-3</v>
      </c>
      <c r="P130" s="17">
        <v>-0.59</v>
      </c>
      <c r="Q130" s="17">
        <v>-0.45</v>
      </c>
      <c r="R130" s="17">
        <v>0.96299999999999997</v>
      </c>
      <c r="S130" s="17">
        <v>0.25</v>
      </c>
      <c r="T130" s="17">
        <v>20081231</v>
      </c>
      <c r="U130" s="17">
        <v>20190731</v>
      </c>
      <c r="V130" s="17">
        <v>128</v>
      </c>
    </row>
    <row r="131" spans="1:22"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22"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22"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</sheetData>
  <autoFilter ref="A1:V130">
    <filterColumn colId="0">
      <filters>
        <filter val="i_volatility"/>
        <filter val="ivo"/>
        <filter val="ivo_ff12m"/>
        <filter val="ivo_ff1m"/>
        <filter val="ivo_ff24m"/>
        <filter val="ivo_ff3m"/>
        <filter val="ivo_ff6m"/>
        <filter val="ivr"/>
        <filter val="ivr_ff12m"/>
        <filter val="ivr_ff1m"/>
        <filter val="ivr_ff24m"/>
        <filter val="ivr_ff3m"/>
        <filter val="ivr_ff6m"/>
        <filter val="maxret11"/>
        <filter val="maxret33"/>
        <filter val="maxret66"/>
        <filter val="volatility_actual12m"/>
        <filter val="volatility_actual1m"/>
        <filter val="volatility_actual24m"/>
        <filter val="volatility_actual3m"/>
        <filter val="volatility_actual6m"/>
        <filter val="volatility12m"/>
        <filter val="volatility1m"/>
        <filter val="volatility24m"/>
        <filter val="volatility3m"/>
        <filter val="volatility6m"/>
        <filter val="volume_volatility12m"/>
        <filter val="volume_volatility1m"/>
        <filter val="volume_volatility24m"/>
        <filter val="volume_volatility3m"/>
        <filter val="volume_volatility6m"/>
      </filters>
    </filterColumn>
    <sortState ref="A3:V105">
      <sortCondition ref="A8"/>
    </sortState>
  </autoFilter>
  <sortState ref="A2:V128">
    <sortCondition descending="1" ref="M3"/>
  </sortState>
  <phoneticPr fontId="5" type="noConversion"/>
  <conditionalFormatting sqref="O1:O1048576">
    <cfRule type="colorScale" priority="2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:M2">
    <cfRule type="colorScale" priority="2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M3">
    <cfRule type="colorScale" priority="2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:M4">
    <cfRule type="colorScale" priority="2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M5">
    <cfRule type="colorScale" priority="2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:M6">
    <cfRule type="colorScale" priority="2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:M7">
    <cfRule type="colorScale" priority="2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:M8">
    <cfRule type="colorScale" priority="2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:M9">
    <cfRule type="colorScale" priority="2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:M11">
    <cfRule type="colorScale" priority="2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:M10">
    <cfRule type="colorScale" priority="2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:M12">
    <cfRule type="colorScale" priority="2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:M13">
    <cfRule type="colorScale" priority="2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4:M14">
    <cfRule type="colorScale" priority="2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5:M15">
    <cfRule type="colorScale" priority="2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6:M16">
    <cfRule type="colorScale" priority="2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7:M17">
    <cfRule type="colorScale" priority="2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8:M18">
    <cfRule type="colorScale" priority="2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9:M19">
    <cfRule type="colorScale" priority="2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0:M20">
    <cfRule type="colorScale" priority="2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1:M21">
    <cfRule type="colorScale" priority="2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3:M23">
    <cfRule type="colorScale" priority="2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2:M22">
    <cfRule type="colorScale" priority="2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:M23 M134:M1048576"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4:M24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5:M25"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6:M26"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7:M27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8:M28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9:M29">
    <cfRule type="colorScale" priority="1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0:M30">
    <cfRule type="colorScale" priority="1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1:M31">
    <cfRule type="colorScale" priority="1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3:M33"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2:M32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4:M34">
    <cfRule type="colorScale" priority="10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5:M35">
    <cfRule type="colorScale" priority="1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6:M36">
    <cfRule type="colorScale" priority="1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7:M37">
    <cfRule type="colorScale" priority="1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8:M38">
    <cfRule type="colorScale" priority="1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9:M39">
    <cfRule type="colorScale" priority="1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0:M40">
    <cfRule type="colorScale" priority="1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1:M41">
    <cfRule type="colorScale" priority="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2:M42">
    <cfRule type="colorScale" priority="9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3:M43">
    <cfRule type="colorScale" priority="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5:M45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4:M44">
    <cfRule type="colorScale" priority="9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4:M45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6:M46"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7:M47"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8:M48"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9:M49"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0:M50"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1:M51"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2:M52"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3:M53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5:M55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4:M54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6:M56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7:M57">
    <cfRule type="colorScale" priority="8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8:M58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9:M59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0:M60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1:M61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2:M62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3:M63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4:M64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5:M65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7:M67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6:M66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46:M67">
    <cfRule type="colorScale" priority="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8:M68"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9:M69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0:M70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1:M71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2:M72"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3:M73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4:M74"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5:M75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7:M77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6:M76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8:M78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9:M79"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0:M80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1:M81"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2:M82"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3:M83"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4:M84"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5:M85"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6:M86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7:M87"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9:M89"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8:M88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68:M89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0:M90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1:M91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2:M92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3:M93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4:M94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5:M95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6:M96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7:M97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9:M99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8:M98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0:M100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1:M101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2:M102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3:M103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4:M104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5:M105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6:M106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7:M107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8:M108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9:M109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1:M111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0:M110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90:M11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2:M112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3:M113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4:M11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5:M115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6:M116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7:M117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8:M118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9:M119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1:M121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0:M120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2:M122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3:M123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4:M124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5:M125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6:M126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7:M127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8:M128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9:M129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0:M130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1:M13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3:M133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2:M13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12:M13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3:S10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workbookViewId="0">
      <selection activeCell="M20" sqref="M20"/>
    </sheetView>
  </sheetViews>
  <sheetFormatPr defaultRowHeight="14.25"/>
  <cols>
    <col min="2" max="13" width="9" style="35"/>
    <col min="15" max="15" width="9" style="35"/>
  </cols>
  <sheetData>
    <row r="1" spans="1:22">
      <c r="A1" s="17" t="s">
        <v>730</v>
      </c>
      <c r="B1" s="17" t="s">
        <v>999</v>
      </c>
      <c r="C1" s="17" t="s">
        <v>1000</v>
      </c>
      <c r="D1" s="17" t="s">
        <v>1001</v>
      </c>
      <c r="E1" s="17" t="s">
        <v>1002</v>
      </c>
      <c r="F1" s="17" t="s">
        <v>1003</v>
      </c>
      <c r="G1" s="17" t="s">
        <v>1004</v>
      </c>
      <c r="H1" s="17" t="s">
        <v>1005</v>
      </c>
      <c r="I1" s="17" t="s">
        <v>1006</v>
      </c>
      <c r="J1" s="17" t="s">
        <v>1007</v>
      </c>
      <c r="K1" s="17" t="s">
        <v>1008</v>
      </c>
      <c r="L1" s="17" t="s">
        <v>1009</v>
      </c>
      <c r="M1" s="17" t="s">
        <v>969</v>
      </c>
      <c r="N1" s="17" t="s">
        <v>970</v>
      </c>
      <c r="O1" s="17" t="s">
        <v>971</v>
      </c>
      <c r="P1" s="17" t="s">
        <v>972</v>
      </c>
      <c r="Q1" s="17" t="s">
        <v>973</v>
      </c>
      <c r="R1" s="17" t="s">
        <v>974</v>
      </c>
      <c r="S1" s="17" t="s">
        <v>975</v>
      </c>
      <c r="T1" s="17" t="s">
        <v>1010</v>
      </c>
      <c r="U1" s="17" t="s">
        <v>1011</v>
      </c>
      <c r="V1" s="17" t="s">
        <v>1012</v>
      </c>
    </row>
    <row r="2" spans="1:22">
      <c r="A2" s="17" t="s">
        <v>1873</v>
      </c>
      <c r="B2" s="17">
        <v>1.7100000000000001E-2</v>
      </c>
      <c r="C2" s="34">
        <v>2.9999999999999997E-4</v>
      </c>
      <c r="D2" s="17">
        <v>9.9000000000000008E-3</v>
      </c>
      <c r="E2" s="17">
        <v>3.8999999999999998E-3</v>
      </c>
      <c r="F2" s="17">
        <v>1.11E-2</v>
      </c>
      <c r="G2" s="17">
        <v>2.1299999999999999E-2</v>
      </c>
      <c r="H2" s="17">
        <v>9.2999999999999992E-3</v>
      </c>
      <c r="I2" s="17">
        <v>1.6299999999999999E-2</v>
      </c>
      <c r="J2" s="17">
        <v>-1.6999999999999999E-3</v>
      </c>
      <c r="K2" s="17">
        <v>1.8700000000000001E-2</v>
      </c>
      <c r="L2" s="17">
        <v>2.18E-2</v>
      </c>
      <c r="M2" s="17">
        <v>1.0999999999999999E-2</v>
      </c>
      <c r="N2" s="17">
        <v>1.1299999999999999</v>
      </c>
      <c r="O2" s="17">
        <v>1.2999999999999999E-3</v>
      </c>
      <c r="P2" s="17">
        <v>1.27</v>
      </c>
      <c r="Q2" s="17">
        <v>0.57999999999999996</v>
      </c>
      <c r="R2" s="17">
        <v>0.84199999999999997</v>
      </c>
      <c r="S2" s="17">
        <v>0.91</v>
      </c>
      <c r="T2" s="17">
        <v>20081231</v>
      </c>
      <c r="U2" s="17">
        <v>20190731</v>
      </c>
      <c r="V2" s="17">
        <v>128</v>
      </c>
    </row>
    <row r="3" spans="1:22">
      <c r="A3" s="17" t="s">
        <v>1874</v>
      </c>
      <c r="B3" s="17">
        <v>1.46E-2</v>
      </c>
      <c r="C3" s="17">
        <v>-6.1999999999999998E-3</v>
      </c>
      <c r="D3" s="17">
        <v>8.6E-3</v>
      </c>
      <c r="E3" s="17">
        <v>5.7999999999999996E-3</v>
      </c>
      <c r="F3" s="17">
        <v>7.9000000000000008E-3</v>
      </c>
      <c r="G3" s="17">
        <v>1.9199999999999998E-2</v>
      </c>
      <c r="H3" s="17">
        <v>-1.1000000000000001E-3</v>
      </c>
      <c r="I3" s="17">
        <v>6.1999999999999998E-3</v>
      </c>
      <c r="J3" s="17">
        <v>-4.4000000000000003E-3</v>
      </c>
      <c r="K3" s="17">
        <v>0.01</v>
      </c>
      <c r="L3" s="17">
        <v>0.02</v>
      </c>
      <c r="M3" s="17">
        <v>7.0000000000000001E-3</v>
      </c>
      <c r="N3" s="17">
        <v>0.67</v>
      </c>
      <c r="O3" s="17">
        <v>1E-3</v>
      </c>
      <c r="P3" s="17">
        <v>1.04</v>
      </c>
      <c r="Q3" s="17">
        <v>0.47</v>
      </c>
      <c r="R3" s="17">
        <v>0.97899999999999998</v>
      </c>
      <c r="S3" s="17">
        <v>0.93</v>
      </c>
      <c r="T3" s="17">
        <v>20081231</v>
      </c>
      <c r="U3" s="17">
        <v>20190731</v>
      </c>
      <c r="V3" s="17">
        <v>128</v>
      </c>
    </row>
    <row r="4" spans="1:22">
      <c r="A4" s="17" t="s">
        <v>1875</v>
      </c>
      <c r="B4" s="17">
        <v>9.2999999999999992E-3</v>
      </c>
      <c r="C4" s="34">
        <v>-1E-4</v>
      </c>
      <c r="D4" s="17">
        <v>5.7999999999999996E-3</v>
      </c>
      <c r="E4" s="17">
        <v>-1.2999999999999999E-3</v>
      </c>
      <c r="F4" s="34">
        <v>6.9999999999999999E-4</v>
      </c>
      <c r="G4" s="17">
        <v>2.2800000000000001E-2</v>
      </c>
      <c r="H4" s="17">
        <v>-2.3E-3</v>
      </c>
      <c r="I4" s="17">
        <v>1.89E-2</v>
      </c>
      <c r="J4" s="17">
        <v>6.7000000000000002E-3</v>
      </c>
      <c r="K4" s="17">
        <v>2.6700000000000002E-2</v>
      </c>
      <c r="L4" s="17">
        <v>2.98E-2</v>
      </c>
      <c r="M4" s="17">
        <v>0.01</v>
      </c>
      <c r="N4" s="17">
        <v>0.86</v>
      </c>
      <c r="O4" s="17">
        <v>1E-3</v>
      </c>
      <c r="P4" s="17">
        <v>0.82</v>
      </c>
      <c r="Q4" s="17">
        <v>0.5</v>
      </c>
      <c r="R4" s="17">
        <v>0.85699999999999998</v>
      </c>
      <c r="S4" s="17">
        <v>0.94</v>
      </c>
      <c r="T4" s="17">
        <v>20081231</v>
      </c>
      <c r="U4" s="17">
        <v>20190731</v>
      </c>
      <c r="V4" s="17">
        <v>128</v>
      </c>
    </row>
    <row r="5" spans="1:22">
      <c r="A5" s="17" t="s">
        <v>1876</v>
      </c>
      <c r="B5" s="17">
        <v>1.6E-2</v>
      </c>
      <c r="C5" s="17">
        <v>-2.2000000000000001E-3</v>
      </c>
      <c r="D5" s="17">
        <v>2.7000000000000001E-3</v>
      </c>
      <c r="E5" s="17">
        <v>-5.7000000000000002E-3</v>
      </c>
      <c r="F5" s="17">
        <v>-5.1999999999999998E-3</v>
      </c>
      <c r="G5" s="17">
        <v>1.95E-2</v>
      </c>
      <c r="H5" s="17">
        <v>-5.0000000000000001E-3</v>
      </c>
      <c r="I5" s="17">
        <v>1.61E-2</v>
      </c>
      <c r="J5" s="17">
        <v>9.1000000000000004E-3</v>
      </c>
      <c r="K5" s="17">
        <v>2.2499999999999999E-2</v>
      </c>
      <c r="L5" s="17">
        <v>2.24E-2</v>
      </c>
      <c r="M5" s="17">
        <v>8.0000000000000002E-3</v>
      </c>
      <c r="N5" s="17">
        <v>0.66</v>
      </c>
      <c r="O5" s="34">
        <v>8.0000000000000004E-4</v>
      </c>
      <c r="P5" s="17">
        <v>0.69</v>
      </c>
      <c r="Q5" s="17">
        <v>0.41</v>
      </c>
      <c r="R5" s="17">
        <v>0.999</v>
      </c>
      <c r="S5" s="17">
        <v>0.93</v>
      </c>
      <c r="T5" s="17">
        <v>20081231</v>
      </c>
      <c r="U5" s="17">
        <v>20190731</v>
      </c>
      <c r="V5" s="17">
        <v>128</v>
      </c>
    </row>
    <row r="6" spans="1:22">
      <c r="A6" s="17" t="s">
        <v>1877</v>
      </c>
      <c r="B6" s="17">
        <v>3.7199999999999997E-2</v>
      </c>
      <c r="C6" s="17">
        <v>4.9500000000000002E-2</v>
      </c>
      <c r="D6" s="17">
        <v>5.1700000000000003E-2</v>
      </c>
      <c r="E6" s="17">
        <v>3.9899999999999998E-2</v>
      </c>
      <c r="F6" s="17">
        <v>5.8000000000000003E-2</v>
      </c>
      <c r="G6" s="17">
        <v>6.6799999999999998E-2</v>
      </c>
      <c r="H6" s="17">
        <v>3.7199999999999997E-2</v>
      </c>
      <c r="I6" s="17">
        <v>2.6200000000000001E-2</v>
      </c>
      <c r="J6" s="17">
        <v>3.1300000000000001E-2</v>
      </c>
      <c r="K6" s="17">
        <v>3.2599999999999997E-2</v>
      </c>
      <c r="L6" s="17">
        <v>1.7999999999999999E-2</v>
      </c>
      <c r="M6" s="17">
        <v>4.1000000000000002E-2</v>
      </c>
      <c r="N6" s="17">
        <v>2.66</v>
      </c>
      <c r="O6" s="17">
        <v>2.3999999999999998E-3</v>
      </c>
      <c r="P6" s="17">
        <v>1.62</v>
      </c>
      <c r="Q6" s="17">
        <v>0.91</v>
      </c>
      <c r="R6" s="17">
        <v>0.77200000000000002</v>
      </c>
      <c r="S6" s="17">
        <v>0.95</v>
      </c>
      <c r="T6" s="17">
        <v>20081231</v>
      </c>
      <c r="U6" s="17">
        <v>20190731</v>
      </c>
      <c r="V6" s="17">
        <v>128</v>
      </c>
    </row>
    <row r="7" spans="1:22">
      <c r="A7" s="17" t="s">
        <v>1942</v>
      </c>
      <c r="B7" s="17">
        <v>2.5399999999999999E-2</v>
      </c>
      <c r="C7" s="17">
        <v>1.52E-2</v>
      </c>
      <c r="D7" s="17">
        <v>1.23E-2</v>
      </c>
      <c r="E7" s="17">
        <v>1.4E-2</v>
      </c>
      <c r="F7" s="17">
        <v>2.2800000000000001E-2</v>
      </c>
      <c r="G7" s="34">
        <v>5.0000000000000001E-4</v>
      </c>
      <c r="H7" s="17">
        <v>2.53E-2</v>
      </c>
      <c r="I7" s="17">
        <v>2.9100000000000001E-2</v>
      </c>
      <c r="J7" s="17">
        <v>2.2599999999999999E-2</v>
      </c>
      <c r="K7" s="17">
        <v>4.2900000000000001E-2</v>
      </c>
      <c r="L7" s="17">
        <v>2.75E-2</v>
      </c>
      <c r="M7" s="17">
        <v>2.1000000000000001E-2</v>
      </c>
      <c r="N7" s="17">
        <v>1.86</v>
      </c>
      <c r="O7" s="17">
        <v>1.6000000000000001E-3</v>
      </c>
      <c r="P7" s="17">
        <v>1.19</v>
      </c>
      <c r="Q7" s="17">
        <v>0.77</v>
      </c>
      <c r="R7" s="17">
        <v>0.97699999999999998</v>
      </c>
      <c r="S7" s="17">
        <v>0.95</v>
      </c>
      <c r="T7" s="17">
        <v>20081231</v>
      </c>
      <c r="U7" s="17">
        <v>20190731</v>
      </c>
      <c r="V7" s="17">
        <v>128</v>
      </c>
    </row>
    <row r="8" spans="1:22">
      <c r="A8" s="17" t="s">
        <v>1943</v>
      </c>
      <c r="B8" s="17">
        <v>1.12E-2</v>
      </c>
      <c r="C8" s="17">
        <v>-5.0000000000000001E-3</v>
      </c>
      <c r="D8" s="17">
        <v>1.5599999999999999E-2</v>
      </c>
      <c r="E8" s="17">
        <v>-6.0000000000000001E-3</v>
      </c>
      <c r="F8" s="17">
        <v>1.55E-2</v>
      </c>
      <c r="G8" s="17">
        <v>6.7000000000000002E-3</v>
      </c>
      <c r="H8" s="17">
        <v>1.0800000000000001E-2</v>
      </c>
      <c r="I8" s="17">
        <v>1.4E-3</v>
      </c>
      <c r="J8" s="17">
        <v>1.9099999999999999E-2</v>
      </c>
      <c r="K8" s="17">
        <v>-1E-3</v>
      </c>
      <c r="L8" s="17">
        <v>1.4E-2</v>
      </c>
      <c r="M8" s="17">
        <v>7.0000000000000001E-3</v>
      </c>
      <c r="N8" s="17">
        <v>0.93</v>
      </c>
      <c r="O8" s="34">
        <v>6.9999999999999999E-4</v>
      </c>
      <c r="P8" s="17">
        <v>0.89</v>
      </c>
      <c r="Q8" s="17">
        <v>0.28000000000000003</v>
      </c>
      <c r="R8" s="17">
        <v>0.96099999999999997</v>
      </c>
      <c r="S8" s="17">
        <v>0.87</v>
      </c>
      <c r="T8" s="17">
        <v>20081231</v>
      </c>
      <c r="U8" s="17">
        <v>20190731</v>
      </c>
      <c r="V8" s="17">
        <v>128</v>
      </c>
    </row>
    <row r="9" spans="1:22">
      <c r="A9" s="17" t="s">
        <v>1878</v>
      </c>
      <c r="B9" s="17">
        <v>-4.7000000000000002E-3</v>
      </c>
      <c r="C9" s="17">
        <v>8.2000000000000007E-3</v>
      </c>
      <c r="D9" s="17">
        <v>3.8E-3</v>
      </c>
      <c r="E9" s="17">
        <v>-2.8999999999999998E-3</v>
      </c>
      <c r="F9" s="17">
        <v>1.7100000000000001E-2</v>
      </c>
      <c r="G9" s="17">
        <v>-1.47E-2</v>
      </c>
      <c r="H9" s="17">
        <v>1.0800000000000001E-2</v>
      </c>
      <c r="I9" s="17">
        <v>-9.1000000000000004E-3</v>
      </c>
      <c r="J9" s="17">
        <v>-7.1999999999999998E-3</v>
      </c>
      <c r="K9" s="17">
        <v>-1.6999999999999999E-3</v>
      </c>
      <c r="L9" s="17">
        <v>1E-3</v>
      </c>
      <c r="M9" s="17">
        <v>0</v>
      </c>
      <c r="N9" s="17">
        <v>0</v>
      </c>
      <c r="O9" s="34">
        <v>5.0000000000000001E-4</v>
      </c>
      <c r="P9" s="17">
        <v>0.48</v>
      </c>
      <c r="Q9" s="17">
        <v>0.28000000000000003</v>
      </c>
      <c r="R9" s="17">
        <v>0.97799999999999998</v>
      </c>
      <c r="S9" s="17">
        <v>0.98</v>
      </c>
      <c r="T9" s="17">
        <v>20081231</v>
      </c>
      <c r="U9" s="17">
        <v>20190731</v>
      </c>
      <c r="V9" s="17">
        <v>128</v>
      </c>
    </row>
    <row r="10" spans="1:22">
      <c r="A10" s="17" t="s">
        <v>1879</v>
      </c>
      <c r="B10" s="17">
        <v>-3.8E-3</v>
      </c>
      <c r="C10" s="17">
        <v>3.0999999999999999E-3</v>
      </c>
      <c r="D10" s="17">
        <v>-3.8E-3</v>
      </c>
      <c r="E10" s="17">
        <v>8.9999999999999993E-3</v>
      </c>
      <c r="F10" s="17">
        <v>-1.5E-3</v>
      </c>
      <c r="G10" s="17">
        <v>-2.12E-2</v>
      </c>
      <c r="H10" s="17">
        <v>-1.9E-3</v>
      </c>
      <c r="I10" s="17">
        <v>-9.7999999999999997E-3</v>
      </c>
      <c r="J10" s="17">
        <v>3.5000000000000001E-3</v>
      </c>
      <c r="K10" s="17">
        <v>-2.3E-2</v>
      </c>
      <c r="L10" s="34">
        <v>-1E-4</v>
      </c>
      <c r="M10" s="17">
        <v>-5.0000000000000001E-3</v>
      </c>
      <c r="N10" s="17">
        <v>-0.44</v>
      </c>
      <c r="O10" s="17">
        <v>0</v>
      </c>
      <c r="P10" s="17">
        <v>-0.02</v>
      </c>
      <c r="Q10" s="17">
        <v>-0.06</v>
      </c>
      <c r="R10" s="17">
        <v>0.997</v>
      </c>
      <c r="S10" s="17">
        <v>0.97</v>
      </c>
      <c r="T10" s="17">
        <v>20081231</v>
      </c>
      <c r="U10" s="17">
        <v>20190731</v>
      </c>
      <c r="V10" s="17">
        <v>128</v>
      </c>
    </row>
    <row r="11" spans="1:22">
      <c r="A11" s="17" t="s">
        <v>1931</v>
      </c>
      <c r="B11" s="17">
        <v>3.8999999999999998E-3</v>
      </c>
      <c r="C11" s="17">
        <v>-5.7000000000000002E-3</v>
      </c>
      <c r="D11" s="17">
        <v>1.06E-2</v>
      </c>
      <c r="E11" s="17">
        <v>1.5299999999999999E-2</v>
      </c>
      <c r="F11" s="17">
        <v>9.7000000000000003E-3</v>
      </c>
      <c r="G11" s="17">
        <v>-2.06E-2</v>
      </c>
      <c r="H11" s="17">
        <v>3.0000000000000001E-3</v>
      </c>
      <c r="I11" s="17">
        <v>-1.6000000000000001E-3</v>
      </c>
      <c r="J11" s="17">
        <v>-1.5299999999999999E-2</v>
      </c>
      <c r="K11" s="17">
        <v>1.7399999999999999E-2</v>
      </c>
      <c r="L11" s="17">
        <v>2.7000000000000001E-3</v>
      </c>
      <c r="M11" s="17">
        <v>2E-3</v>
      </c>
      <c r="N11" s="17">
        <v>0.14000000000000001</v>
      </c>
      <c r="O11" s="34">
        <v>4.0000000000000002E-4</v>
      </c>
      <c r="P11" s="17">
        <v>0.3</v>
      </c>
      <c r="Q11" s="17">
        <v>0.19</v>
      </c>
      <c r="R11" s="17">
        <v>0.97799999999999998</v>
      </c>
      <c r="S11" s="17">
        <v>0.97</v>
      </c>
      <c r="T11" s="17">
        <v>20081231</v>
      </c>
      <c r="U11" s="17">
        <v>20190731</v>
      </c>
      <c r="V11" s="17">
        <v>128</v>
      </c>
    </row>
    <row r="12" spans="1:22">
      <c r="A12" s="17" t="s">
        <v>1932</v>
      </c>
      <c r="B12" s="17">
        <v>-1.0200000000000001E-2</v>
      </c>
      <c r="C12" s="17">
        <v>1.7100000000000001E-2</v>
      </c>
      <c r="D12" s="17">
        <v>2.12E-2</v>
      </c>
      <c r="E12" s="17">
        <v>1.2800000000000001E-2</v>
      </c>
      <c r="F12" s="17">
        <v>3.0999999999999999E-3</v>
      </c>
      <c r="G12" s="17">
        <v>-1.04E-2</v>
      </c>
      <c r="H12" s="17">
        <v>-0.01</v>
      </c>
      <c r="I12" s="17">
        <v>-6.8999999999999999E-3</v>
      </c>
      <c r="J12" s="17">
        <v>7.3000000000000001E-3</v>
      </c>
      <c r="K12" s="17">
        <v>-5.3E-3</v>
      </c>
      <c r="L12" s="17">
        <v>-1.46E-2</v>
      </c>
      <c r="M12" s="17">
        <v>1E-3</v>
      </c>
      <c r="N12" s="17">
        <v>0.09</v>
      </c>
      <c r="O12" s="34">
        <v>8.0000000000000004E-4</v>
      </c>
      <c r="P12" s="17">
        <v>0.69</v>
      </c>
      <c r="Q12" s="17">
        <v>0.32</v>
      </c>
      <c r="R12" s="17">
        <v>0.97699999999999998</v>
      </c>
      <c r="S12" s="17">
        <v>0.87</v>
      </c>
      <c r="T12" s="17">
        <v>20081231</v>
      </c>
      <c r="U12" s="17">
        <v>20190731</v>
      </c>
      <c r="V12" s="17">
        <v>128</v>
      </c>
    </row>
    <row r="13" spans="1:22">
      <c r="A13" s="17" t="s">
        <v>1933</v>
      </c>
      <c r="B13" s="17">
        <v>2.8E-3</v>
      </c>
      <c r="C13" s="17">
        <v>-7.6E-3</v>
      </c>
      <c r="D13" s="17">
        <v>6.0000000000000001E-3</v>
      </c>
      <c r="E13" s="17">
        <v>1.47E-2</v>
      </c>
      <c r="F13" s="17">
        <v>6.4000000000000003E-3</v>
      </c>
      <c r="G13" s="17">
        <v>-2.5899999999999999E-2</v>
      </c>
      <c r="H13" s="17">
        <v>-1.1999999999999999E-3</v>
      </c>
      <c r="I13" s="17">
        <v>-1.0200000000000001E-2</v>
      </c>
      <c r="J13" s="17">
        <v>-2.5999999999999999E-3</v>
      </c>
      <c r="K13" s="17">
        <v>1.37E-2</v>
      </c>
      <c r="L13" s="17">
        <v>-7.7999999999999996E-3</v>
      </c>
      <c r="M13" s="17">
        <v>-1E-3</v>
      </c>
      <c r="N13" s="17">
        <v>-0.06</v>
      </c>
      <c r="O13" s="34">
        <v>2.9999999999999997E-4</v>
      </c>
      <c r="P13" s="17">
        <v>0.16</v>
      </c>
      <c r="Q13" s="17">
        <v>0.11</v>
      </c>
      <c r="R13" s="17">
        <v>0.97799999999999998</v>
      </c>
      <c r="S13" s="17">
        <v>0.97</v>
      </c>
      <c r="T13" s="17">
        <v>20081231</v>
      </c>
      <c r="U13" s="17">
        <v>20190731</v>
      </c>
      <c r="V13" s="17">
        <v>128</v>
      </c>
    </row>
    <row r="14" spans="1:22">
      <c r="A14" s="17" t="s">
        <v>1934</v>
      </c>
      <c r="B14" s="17">
        <v>-6.1999999999999998E-3</v>
      </c>
      <c r="C14" s="17">
        <v>1.7299999999999999E-2</v>
      </c>
      <c r="D14" s="17">
        <v>1.7000000000000001E-2</v>
      </c>
      <c r="E14" s="17">
        <v>1.2800000000000001E-2</v>
      </c>
      <c r="F14" s="17">
        <v>1.9199999999999998E-2</v>
      </c>
      <c r="G14" s="17">
        <v>-3.7000000000000002E-3</v>
      </c>
      <c r="H14" s="17">
        <v>-6.1999999999999998E-3</v>
      </c>
      <c r="I14" s="17">
        <v>3.0999999999999999E-3</v>
      </c>
      <c r="J14" s="17">
        <v>5.3E-3</v>
      </c>
      <c r="K14" s="17">
        <v>-4.1999999999999997E-3</v>
      </c>
      <c r="L14" s="34">
        <v>-6.9999999999999999E-4</v>
      </c>
      <c r="M14" s="17">
        <v>5.0000000000000001E-3</v>
      </c>
      <c r="N14" s="17">
        <v>0.56000000000000005</v>
      </c>
      <c r="O14" s="17">
        <v>1.1999999999999999E-3</v>
      </c>
      <c r="P14" s="17">
        <v>1.0900000000000001</v>
      </c>
      <c r="Q14" s="17">
        <v>0.48</v>
      </c>
      <c r="R14" s="17">
        <v>0.97699999999999998</v>
      </c>
      <c r="S14" s="17">
        <v>0.87</v>
      </c>
      <c r="T14" s="17">
        <v>20081231</v>
      </c>
      <c r="U14" s="17">
        <v>20190731</v>
      </c>
      <c r="V14" s="17">
        <v>128</v>
      </c>
    </row>
    <row r="15" spans="1:22">
      <c r="A15" s="17" t="s">
        <v>1880</v>
      </c>
      <c r="B15" s="17">
        <v>1.7299999999999999E-2</v>
      </c>
      <c r="C15" s="34">
        <v>6.9999999999999999E-4</v>
      </c>
      <c r="D15" s="17">
        <v>-2E-3</v>
      </c>
      <c r="E15" s="17">
        <v>2.5000000000000001E-3</v>
      </c>
      <c r="F15" s="17">
        <v>1.38E-2</v>
      </c>
      <c r="G15" s="17">
        <v>2.0500000000000001E-2</v>
      </c>
      <c r="H15" s="17">
        <v>-2.5000000000000001E-3</v>
      </c>
      <c r="I15" s="17">
        <v>1.12E-2</v>
      </c>
      <c r="J15" s="17">
        <v>1.15E-2</v>
      </c>
      <c r="K15" s="17">
        <v>2.2200000000000001E-2</v>
      </c>
      <c r="L15" s="17">
        <v>1.52E-2</v>
      </c>
      <c r="M15" s="17">
        <v>0.01</v>
      </c>
      <c r="N15" s="17">
        <v>1.03</v>
      </c>
      <c r="O15" s="34">
        <v>8.0000000000000004E-4</v>
      </c>
      <c r="P15" s="17">
        <v>0.88</v>
      </c>
      <c r="Q15" s="17">
        <v>0.4</v>
      </c>
      <c r="R15" s="17">
        <v>0.73399999999999999</v>
      </c>
      <c r="S15" s="17">
        <v>0.92</v>
      </c>
      <c r="T15" s="17">
        <v>20081231</v>
      </c>
      <c r="U15" s="17">
        <v>20190731</v>
      </c>
      <c r="V15" s="17">
        <v>128</v>
      </c>
    </row>
    <row r="16" spans="1:22">
      <c r="A16" s="17" t="s">
        <v>1881</v>
      </c>
      <c r="B16" s="17">
        <v>2.7699999999999999E-2</v>
      </c>
      <c r="C16" s="17">
        <v>2.3099999999999999E-2</v>
      </c>
      <c r="D16" s="17">
        <v>1.9199999999999998E-2</v>
      </c>
      <c r="E16" s="17">
        <v>1.2800000000000001E-2</v>
      </c>
      <c r="F16" s="17">
        <v>1.72E-2</v>
      </c>
      <c r="G16" s="17">
        <v>1.0999999999999999E-2</v>
      </c>
      <c r="H16" s="17">
        <v>3.3399999999999999E-2</v>
      </c>
      <c r="I16" s="17">
        <v>2.1899999999999999E-2</v>
      </c>
      <c r="J16" s="17">
        <v>2.75E-2</v>
      </c>
      <c r="K16" s="17">
        <v>1.8200000000000001E-2</v>
      </c>
      <c r="L16" s="17">
        <v>1.5599999999999999E-2</v>
      </c>
      <c r="M16" s="17">
        <v>2.1000000000000001E-2</v>
      </c>
      <c r="N16" s="17">
        <v>2.29</v>
      </c>
      <c r="O16" s="17">
        <v>2E-3</v>
      </c>
      <c r="P16" s="17">
        <v>2.17</v>
      </c>
      <c r="Q16" s="17">
        <v>0.91</v>
      </c>
      <c r="R16" s="17">
        <v>0.96099999999999997</v>
      </c>
      <c r="S16" s="17">
        <v>0.9</v>
      </c>
      <c r="T16" s="17">
        <v>20081231</v>
      </c>
      <c r="U16" s="17">
        <v>20190731</v>
      </c>
      <c r="V16" s="17">
        <v>128</v>
      </c>
    </row>
    <row r="17" spans="1:22">
      <c r="A17" s="17" t="s">
        <v>1882</v>
      </c>
      <c r="B17" s="17">
        <v>1.0999999999999999E-2</v>
      </c>
      <c r="C17" s="17">
        <v>4.9000000000000002E-2</v>
      </c>
      <c r="D17" s="17">
        <v>1.2500000000000001E-2</v>
      </c>
      <c r="E17" s="17">
        <v>2.5399999999999999E-2</v>
      </c>
      <c r="F17" s="17">
        <v>4.2900000000000001E-2</v>
      </c>
      <c r="G17" s="17">
        <v>-1.9900000000000001E-2</v>
      </c>
      <c r="H17" s="17">
        <v>3.2899999999999999E-2</v>
      </c>
      <c r="I17" s="17">
        <v>2.2000000000000001E-3</v>
      </c>
      <c r="J17" s="17">
        <v>3.0700000000000002E-2</v>
      </c>
      <c r="K17" s="17">
        <v>-1.4800000000000001E-2</v>
      </c>
      <c r="L17" s="34">
        <v>-6.9999999999999999E-4</v>
      </c>
      <c r="M17" s="17">
        <v>1.6E-2</v>
      </c>
      <c r="N17" s="17">
        <v>0.79</v>
      </c>
      <c r="O17" s="17">
        <v>1.2999999999999999E-3</v>
      </c>
      <c r="P17" s="17">
        <v>0.61</v>
      </c>
      <c r="Q17" s="17">
        <v>0.45</v>
      </c>
      <c r="R17" s="17">
        <v>0.83499999999999996</v>
      </c>
      <c r="S17" s="17">
        <v>0.98</v>
      </c>
      <c r="T17" s="17">
        <v>20081231</v>
      </c>
      <c r="U17" s="17">
        <v>20190731</v>
      </c>
      <c r="V17" s="17">
        <v>128</v>
      </c>
    </row>
    <row r="18" spans="1:22">
      <c r="A18" s="17" t="s">
        <v>1883</v>
      </c>
      <c r="B18" s="17">
        <v>3.9399999999999998E-2</v>
      </c>
      <c r="C18" s="17">
        <v>5.16E-2</v>
      </c>
      <c r="D18" s="17">
        <v>2.93E-2</v>
      </c>
      <c r="E18" s="17">
        <v>2.7199999999999998E-2</v>
      </c>
      <c r="F18" s="17">
        <v>3.6200000000000003E-2</v>
      </c>
      <c r="G18" s="17">
        <v>3.2000000000000002E-3</v>
      </c>
      <c r="H18" s="17">
        <v>3.7199999999999997E-2</v>
      </c>
      <c r="I18" s="17">
        <v>1.5900000000000001E-2</v>
      </c>
      <c r="J18" s="17">
        <v>7.6E-3</v>
      </c>
      <c r="K18" s="17">
        <v>-1.5699999999999999E-2</v>
      </c>
      <c r="L18" s="34">
        <v>-2.9999999999999997E-4</v>
      </c>
      <c r="M18" s="17">
        <v>2.1999999999999999E-2</v>
      </c>
      <c r="N18" s="17">
        <v>1.38</v>
      </c>
      <c r="O18" s="34">
        <v>5.0000000000000001E-4</v>
      </c>
      <c r="P18" s="17">
        <v>0.31</v>
      </c>
      <c r="Q18" s="17">
        <v>0.2</v>
      </c>
      <c r="R18" s="17">
        <v>0.73499999999999999</v>
      </c>
      <c r="S18" s="17">
        <v>0.98</v>
      </c>
      <c r="T18" s="17">
        <v>20081231</v>
      </c>
      <c r="U18" s="17">
        <v>20190731</v>
      </c>
      <c r="V18" s="17">
        <v>128</v>
      </c>
    </row>
    <row r="19" spans="1:22">
      <c r="A19" s="17" t="s">
        <v>1884</v>
      </c>
      <c r="B19" s="17">
        <v>1.2200000000000001E-2</v>
      </c>
      <c r="C19" s="34">
        <v>2.9999999999999997E-4</v>
      </c>
      <c r="D19" s="17">
        <v>1.1900000000000001E-2</v>
      </c>
      <c r="E19" s="17">
        <v>2.8999999999999998E-3</v>
      </c>
      <c r="F19" s="17">
        <v>-6.0000000000000001E-3</v>
      </c>
      <c r="G19" s="17">
        <v>-5.3E-3</v>
      </c>
      <c r="H19" s="17">
        <v>-6.1999999999999998E-3</v>
      </c>
      <c r="I19" s="17">
        <v>-3.5999999999999999E-3</v>
      </c>
      <c r="J19" s="17">
        <v>1.06E-2</v>
      </c>
      <c r="K19" s="17">
        <v>1.11E-2</v>
      </c>
      <c r="L19" s="17">
        <v>-2.5999999999999999E-3</v>
      </c>
      <c r="M19" s="17">
        <v>2E-3</v>
      </c>
      <c r="N19" s="17">
        <v>0.31</v>
      </c>
      <c r="O19" s="34">
        <v>1E-4</v>
      </c>
      <c r="P19" s="17">
        <v>0.06</v>
      </c>
      <c r="Q19" s="17">
        <v>0.01</v>
      </c>
      <c r="R19" s="17">
        <v>0.90300000000000002</v>
      </c>
      <c r="S19" s="17">
        <v>0.97</v>
      </c>
      <c r="T19" s="17">
        <v>20081231</v>
      </c>
      <c r="U19" s="17">
        <v>20190731</v>
      </c>
      <c r="V19" s="17">
        <v>128</v>
      </c>
    </row>
    <row r="20" spans="1:22">
      <c r="A20" s="17" t="s">
        <v>2258</v>
      </c>
      <c r="B20" s="17">
        <v>2.1600000000000001E-2</v>
      </c>
      <c r="C20" s="17">
        <v>2.0299999999999999E-2</v>
      </c>
      <c r="D20" s="17">
        <v>-6.0000000000000001E-3</v>
      </c>
      <c r="E20" s="17">
        <v>7.4999999999999997E-3</v>
      </c>
      <c r="F20" s="17">
        <v>1.09E-2</v>
      </c>
      <c r="G20" s="17">
        <v>9.1000000000000004E-3</v>
      </c>
      <c r="H20" s="17">
        <v>2.12E-2</v>
      </c>
      <c r="I20" s="17">
        <v>4.7000000000000002E-3</v>
      </c>
      <c r="J20" s="17">
        <v>1.6E-2</v>
      </c>
      <c r="K20" s="17">
        <v>2.87E-2</v>
      </c>
      <c r="L20" s="17">
        <v>7.4999999999999997E-3</v>
      </c>
      <c r="M20" s="17">
        <v>1.2999999999999999E-2</v>
      </c>
      <c r="N20" s="17">
        <v>1.37</v>
      </c>
      <c r="O20" s="17">
        <v>1.2999999999999999E-3</v>
      </c>
      <c r="P20" s="17">
        <v>1.32</v>
      </c>
      <c r="Q20" s="17">
        <v>0.53</v>
      </c>
      <c r="R20" s="17">
        <v>0.998</v>
      </c>
      <c r="S20" s="17">
        <v>0.6</v>
      </c>
      <c r="T20" s="17">
        <v>20081231</v>
      </c>
      <c r="U20" s="17">
        <v>20190731</v>
      </c>
      <c r="V20" s="17">
        <v>128</v>
      </c>
    </row>
    <row r="21" spans="1:22">
      <c r="A21" s="17" t="s">
        <v>1885</v>
      </c>
      <c r="B21" s="17">
        <v>3.1399999999999997E-2</v>
      </c>
      <c r="C21" s="17">
        <v>3.95E-2</v>
      </c>
      <c r="D21" s="17">
        <v>3.0499999999999999E-2</v>
      </c>
      <c r="E21" s="17">
        <v>2.4199999999999999E-2</v>
      </c>
      <c r="F21" s="17">
        <v>3.2599999999999997E-2</v>
      </c>
      <c r="G21" s="17">
        <v>-4.1999999999999997E-3</v>
      </c>
      <c r="H21" s="17">
        <v>4.5600000000000002E-2</v>
      </c>
      <c r="I21" s="17">
        <v>2.2800000000000001E-2</v>
      </c>
      <c r="J21" s="17">
        <v>1.2999999999999999E-3</v>
      </c>
      <c r="K21" s="17">
        <v>-1.3100000000000001E-2</v>
      </c>
      <c r="L21" s="17">
        <v>-5.3E-3</v>
      </c>
      <c r="M21" s="17">
        <v>1.9E-2</v>
      </c>
      <c r="N21" s="17">
        <v>1.33</v>
      </c>
      <c r="O21" s="34">
        <v>4.0000000000000002E-4</v>
      </c>
      <c r="P21" s="17">
        <v>0.24</v>
      </c>
      <c r="Q21" s="17">
        <v>0.16</v>
      </c>
      <c r="R21" s="17">
        <v>0.73499999999999999</v>
      </c>
      <c r="S21" s="17">
        <v>0.96</v>
      </c>
      <c r="T21" s="17">
        <v>20081231</v>
      </c>
      <c r="U21" s="17">
        <v>20190731</v>
      </c>
      <c r="V21" s="17">
        <v>128</v>
      </c>
    </row>
    <row r="22" spans="1:22">
      <c r="A22" s="17" t="s">
        <v>1886</v>
      </c>
      <c r="B22" s="17">
        <v>2.7799999999999998E-2</v>
      </c>
      <c r="C22" s="17">
        <v>4.1500000000000002E-2</v>
      </c>
      <c r="D22" s="17">
        <v>2.2599999999999999E-2</v>
      </c>
      <c r="E22" s="17">
        <v>1.9E-2</v>
      </c>
      <c r="F22" s="17">
        <v>3.56E-2</v>
      </c>
      <c r="G22" s="17">
        <v>4.3E-3</v>
      </c>
      <c r="H22" s="17">
        <v>4.9700000000000001E-2</v>
      </c>
      <c r="I22" s="17">
        <v>2.12E-2</v>
      </c>
      <c r="J22" s="17">
        <v>8.2000000000000007E-3</v>
      </c>
      <c r="K22" s="17">
        <v>-1.9099999999999999E-2</v>
      </c>
      <c r="L22" s="17">
        <v>1.1000000000000001E-3</v>
      </c>
      <c r="M22" s="17">
        <v>0.02</v>
      </c>
      <c r="N22" s="17">
        <v>1.38</v>
      </c>
      <c r="O22" s="34">
        <v>5.0000000000000001E-4</v>
      </c>
      <c r="P22" s="17">
        <v>0.32</v>
      </c>
      <c r="Q22" s="17">
        <v>0.19</v>
      </c>
      <c r="R22" s="17">
        <v>0.72</v>
      </c>
      <c r="S22" s="17">
        <v>0.96</v>
      </c>
      <c r="T22" s="17">
        <v>20081231</v>
      </c>
      <c r="U22" s="17">
        <v>20190731</v>
      </c>
      <c r="V22" s="17">
        <v>128</v>
      </c>
    </row>
    <row r="23" spans="1:22">
      <c r="A23" s="17" t="s">
        <v>1887</v>
      </c>
      <c r="B23" s="17">
        <v>-1.0999999999999999E-2</v>
      </c>
      <c r="C23" s="17">
        <v>1.24E-2</v>
      </c>
      <c r="D23" s="17">
        <v>2.3199999999999998E-2</v>
      </c>
      <c r="E23" s="17">
        <v>3.2300000000000002E-2</v>
      </c>
      <c r="F23" s="17">
        <v>2.3E-2</v>
      </c>
      <c r="G23" s="17">
        <v>1.6999999999999999E-3</v>
      </c>
      <c r="H23" s="17">
        <v>2.1700000000000001E-2</v>
      </c>
      <c r="I23" s="17">
        <v>9.7000000000000003E-3</v>
      </c>
      <c r="J23" s="17">
        <v>3.2800000000000003E-2</v>
      </c>
      <c r="K23" s="17">
        <v>6.7999999999999996E-3</v>
      </c>
      <c r="L23" s="17">
        <v>2.6100000000000002E-2</v>
      </c>
      <c r="M23" s="17">
        <v>1.6E-2</v>
      </c>
      <c r="N23" s="17">
        <v>1.35</v>
      </c>
      <c r="O23" s="17">
        <v>1.6999999999999999E-3</v>
      </c>
      <c r="P23" s="17">
        <v>1.31</v>
      </c>
      <c r="Q23" s="17">
        <v>0.76</v>
      </c>
      <c r="R23" s="17">
        <v>0.95499999999999996</v>
      </c>
      <c r="S23" s="17">
        <v>0.92</v>
      </c>
      <c r="T23" s="17">
        <v>20081231</v>
      </c>
      <c r="U23" s="17">
        <v>20190731</v>
      </c>
      <c r="V23" s="17">
        <v>128</v>
      </c>
    </row>
    <row r="24" spans="1:22">
      <c r="A24" s="17" t="s">
        <v>1888</v>
      </c>
      <c r="B24" s="17">
        <v>4.0800000000000003E-2</v>
      </c>
      <c r="C24" s="17">
        <v>4.2999999999999997E-2</v>
      </c>
      <c r="D24" s="17">
        <v>2.7799999999999998E-2</v>
      </c>
      <c r="E24" s="17">
        <v>2.7900000000000001E-2</v>
      </c>
      <c r="F24" s="17">
        <v>5.9799999999999999E-2</v>
      </c>
      <c r="G24" s="17">
        <v>-3.5000000000000001E-3</v>
      </c>
      <c r="H24" s="17">
        <v>5.91E-2</v>
      </c>
      <c r="I24" s="17">
        <v>2.6800000000000001E-2</v>
      </c>
      <c r="J24" s="17">
        <v>2.6599999999999999E-2</v>
      </c>
      <c r="K24" s="17">
        <v>3.61E-2</v>
      </c>
      <c r="L24" s="17">
        <v>1.83E-2</v>
      </c>
      <c r="M24" s="17">
        <v>3.3000000000000002E-2</v>
      </c>
      <c r="N24" s="17">
        <v>1.91</v>
      </c>
      <c r="O24" s="17">
        <v>1.5E-3</v>
      </c>
      <c r="P24" s="17">
        <v>1.1599999999999999</v>
      </c>
      <c r="Q24" s="17">
        <v>0.75</v>
      </c>
      <c r="R24" s="17">
        <v>0.999</v>
      </c>
      <c r="S24" s="17">
        <v>0.87</v>
      </c>
      <c r="T24" s="17">
        <v>20081231</v>
      </c>
      <c r="U24" s="17">
        <v>20190731</v>
      </c>
      <c r="V24" s="17">
        <v>128</v>
      </c>
    </row>
    <row r="25" spans="1:22">
      <c r="A25" s="17" t="s">
        <v>1889</v>
      </c>
      <c r="B25" s="17">
        <v>-5.1000000000000004E-3</v>
      </c>
      <c r="C25" s="17">
        <v>9.7999999999999997E-3</v>
      </c>
      <c r="D25" s="17">
        <v>9.5999999999999992E-3</v>
      </c>
      <c r="E25" s="17">
        <v>2.35E-2</v>
      </c>
      <c r="F25" s="17">
        <v>1.44E-2</v>
      </c>
      <c r="G25" s="17">
        <v>3.27E-2</v>
      </c>
      <c r="H25" s="17">
        <v>1.21E-2</v>
      </c>
      <c r="I25" s="17">
        <v>3.4200000000000001E-2</v>
      </c>
      <c r="J25" s="17">
        <v>3.8E-3</v>
      </c>
      <c r="K25" s="17">
        <v>1.4999999999999999E-2</v>
      </c>
      <c r="L25" s="17">
        <v>3.7000000000000002E-3</v>
      </c>
      <c r="M25" s="17">
        <v>1.4E-2</v>
      </c>
      <c r="N25" s="17">
        <v>1.49</v>
      </c>
      <c r="O25" s="34">
        <v>8.0000000000000004E-4</v>
      </c>
      <c r="P25" s="17">
        <v>0.77</v>
      </c>
      <c r="Q25" s="17">
        <v>0.44</v>
      </c>
      <c r="R25" s="17">
        <v>0.95399999999999996</v>
      </c>
      <c r="S25" s="17">
        <v>0.98</v>
      </c>
      <c r="T25" s="17">
        <v>20081231</v>
      </c>
      <c r="U25" s="17">
        <v>20190731</v>
      </c>
      <c r="V25" s="17">
        <v>128</v>
      </c>
    </row>
    <row r="26" spans="1:22">
      <c r="A26" s="17" t="s">
        <v>1890</v>
      </c>
      <c r="B26" s="17">
        <v>1.5900000000000001E-2</v>
      </c>
      <c r="C26" s="17">
        <v>-1.83E-2</v>
      </c>
      <c r="D26" s="17">
        <v>-1.6000000000000001E-3</v>
      </c>
      <c r="E26" s="17">
        <v>9.7999999999999997E-3</v>
      </c>
      <c r="F26" s="17">
        <v>-1.4200000000000001E-2</v>
      </c>
      <c r="G26" s="17">
        <v>-2.24E-2</v>
      </c>
      <c r="H26" s="17">
        <v>-2.5000000000000001E-3</v>
      </c>
      <c r="I26" s="17">
        <v>-6.4999999999999997E-3</v>
      </c>
      <c r="J26" s="17">
        <v>-5.8999999999999999E-3</v>
      </c>
      <c r="K26" s="17">
        <v>-1.9E-2</v>
      </c>
      <c r="L26" s="17">
        <v>-1.7100000000000001E-2</v>
      </c>
      <c r="M26" s="17">
        <v>-7.0000000000000001E-3</v>
      </c>
      <c r="N26" s="17">
        <v>-0.6</v>
      </c>
      <c r="O26" s="34">
        <v>-4.0000000000000002E-4</v>
      </c>
      <c r="P26" s="17">
        <v>-0.31</v>
      </c>
      <c r="Q26" s="17">
        <v>-0.25</v>
      </c>
      <c r="R26" s="17">
        <v>0.998</v>
      </c>
      <c r="S26" s="17">
        <v>0.98</v>
      </c>
      <c r="T26" s="17">
        <v>20081231</v>
      </c>
      <c r="U26" s="17">
        <v>20190731</v>
      </c>
      <c r="V26" s="17">
        <v>128</v>
      </c>
    </row>
    <row r="27" spans="1:22">
      <c r="A27" s="17" t="s">
        <v>1891</v>
      </c>
      <c r="B27" s="17">
        <v>3.0200000000000001E-2</v>
      </c>
      <c r="C27" s="17">
        <v>6.4000000000000003E-3</v>
      </c>
      <c r="D27" s="17">
        <v>6.1000000000000004E-3</v>
      </c>
      <c r="E27" s="17">
        <v>1.01E-2</v>
      </c>
      <c r="F27" s="17">
        <v>6.4000000000000003E-3</v>
      </c>
      <c r="G27" s="17">
        <v>1.3899999999999999E-2</v>
      </c>
      <c r="H27" s="17">
        <v>6.7000000000000002E-3</v>
      </c>
      <c r="I27" s="17">
        <v>2.7300000000000001E-2</v>
      </c>
      <c r="J27" s="17">
        <v>1.32E-2</v>
      </c>
      <c r="K27" s="17">
        <v>2.8899999999999999E-2</v>
      </c>
      <c r="L27" s="17">
        <v>2.2700000000000001E-2</v>
      </c>
      <c r="M27" s="17">
        <v>1.4999999999999999E-2</v>
      </c>
      <c r="N27" s="17">
        <v>1.52</v>
      </c>
      <c r="O27" s="17">
        <v>1.2999999999999999E-3</v>
      </c>
      <c r="P27" s="17">
        <v>1.26</v>
      </c>
      <c r="Q27" s="17">
        <v>0.68</v>
      </c>
      <c r="R27" s="17">
        <v>0.999</v>
      </c>
      <c r="S27" s="17">
        <v>0.93</v>
      </c>
      <c r="T27" s="17">
        <v>20081231</v>
      </c>
      <c r="U27" s="17">
        <v>20190731</v>
      </c>
      <c r="V27" s="17">
        <v>128</v>
      </c>
    </row>
    <row r="28" spans="1:22">
      <c r="A28" s="17" t="s">
        <v>1892</v>
      </c>
      <c r="B28" s="17">
        <v>-2.0999999999999999E-3</v>
      </c>
      <c r="C28" s="17">
        <v>-7.7999999999999996E-3</v>
      </c>
      <c r="D28" s="17">
        <v>1.2999999999999999E-3</v>
      </c>
      <c r="E28" s="17">
        <v>-4.7000000000000002E-3</v>
      </c>
      <c r="F28" s="17">
        <v>-1.8100000000000002E-2</v>
      </c>
      <c r="G28" s="17">
        <v>2.6700000000000002E-2</v>
      </c>
      <c r="H28" s="17">
        <v>-3.2500000000000001E-2</v>
      </c>
      <c r="I28" s="17">
        <v>2.92E-2</v>
      </c>
      <c r="J28" s="17">
        <v>2.93E-2</v>
      </c>
      <c r="K28" s="17">
        <v>2.1499999999999998E-2</v>
      </c>
      <c r="L28" s="17">
        <v>1.49E-2</v>
      </c>
      <c r="M28" s="17">
        <v>5.0000000000000001E-3</v>
      </c>
      <c r="N28" s="17">
        <v>0.26</v>
      </c>
      <c r="O28" s="34">
        <v>1E-4</v>
      </c>
      <c r="P28" s="17">
        <v>7.0000000000000007E-2</v>
      </c>
      <c r="Q28" s="17">
        <v>0.2</v>
      </c>
      <c r="R28" s="17">
        <v>0.999</v>
      </c>
      <c r="S28" s="17">
        <v>0.97</v>
      </c>
      <c r="T28" s="17">
        <v>20081231</v>
      </c>
      <c r="U28" s="17">
        <v>20190731</v>
      </c>
      <c r="V28" s="17">
        <v>128</v>
      </c>
    </row>
    <row r="29" spans="1:22">
      <c r="A29" s="17" t="s">
        <v>1893</v>
      </c>
      <c r="B29" s="17">
        <v>6.7000000000000002E-3</v>
      </c>
      <c r="C29" s="17">
        <v>1.8E-3</v>
      </c>
      <c r="D29" s="17">
        <v>1.2E-2</v>
      </c>
      <c r="E29" s="34">
        <v>-5.9999999999999995E-4</v>
      </c>
      <c r="F29" s="17">
        <v>8.3999999999999995E-3</v>
      </c>
      <c r="G29" s="17">
        <v>2.0400000000000001E-2</v>
      </c>
      <c r="H29" s="17">
        <v>1.9599999999999999E-2</v>
      </c>
      <c r="I29" s="17">
        <v>2.07E-2</v>
      </c>
      <c r="J29" s="17">
        <v>1.29E-2</v>
      </c>
      <c r="K29" s="17">
        <v>2.6499999999999999E-2</v>
      </c>
      <c r="L29" s="17">
        <v>1.8800000000000001E-2</v>
      </c>
      <c r="M29" s="17">
        <v>1.2999999999999999E-2</v>
      </c>
      <c r="N29" s="17">
        <v>1.34</v>
      </c>
      <c r="O29" s="17">
        <v>1E-3</v>
      </c>
      <c r="P29" s="17">
        <v>0.93</v>
      </c>
      <c r="Q29" s="17">
        <v>0.51</v>
      </c>
      <c r="R29" s="17">
        <v>0.999</v>
      </c>
      <c r="S29" s="17">
        <v>0.99</v>
      </c>
      <c r="T29" s="17">
        <v>20081231</v>
      </c>
      <c r="U29" s="17">
        <v>20190731</v>
      </c>
      <c r="V29" s="17">
        <v>128</v>
      </c>
    </row>
    <row r="30" spans="1:22">
      <c r="A30" s="17" t="s">
        <v>1894</v>
      </c>
      <c r="B30" s="34">
        <v>8.9999999999999998E-4</v>
      </c>
      <c r="C30" s="17">
        <v>4.1700000000000001E-2</v>
      </c>
      <c r="D30" s="17">
        <v>2.9399999999999999E-2</v>
      </c>
      <c r="E30" s="17">
        <v>3.1E-2</v>
      </c>
      <c r="F30" s="17">
        <v>0.06</v>
      </c>
      <c r="G30" s="17">
        <v>-2.5899999999999999E-2</v>
      </c>
      <c r="H30" s="17">
        <v>3.3000000000000002E-2</v>
      </c>
      <c r="I30" s="34">
        <v>4.0000000000000002E-4</v>
      </c>
      <c r="J30" s="17">
        <v>2.92E-2</v>
      </c>
      <c r="K30" s="17">
        <v>1.04E-2</v>
      </c>
      <c r="L30" s="17">
        <v>1.1900000000000001E-2</v>
      </c>
      <c r="M30" s="17">
        <v>0.02</v>
      </c>
      <c r="N30" s="17">
        <v>0.91</v>
      </c>
      <c r="O30" s="17">
        <v>1.6999999999999999E-3</v>
      </c>
      <c r="P30" s="17">
        <v>0.85</v>
      </c>
      <c r="Q30" s="17">
        <v>0.79</v>
      </c>
      <c r="R30" s="17">
        <v>0.998</v>
      </c>
      <c r="S30" s="17">
        <v>0.99</v>
      </c>
      <c r="T30" s="17">
        <v>20081231</v>
      </c>
      <c r="U30" s="17">
        <v>20190731</v>
      </c>
      <c r="V30" s="17">
        <v>128</v>
      </c>
    </row>
    <row r="31" spans="1:22">
      <c r="A31" s="17" t="s">
        <v>1895</v>
      </c>
      <c r="B31" s="17">
        <v>1.17E-2</v>
      </c>
      <c r="C31" s="17">
        <v>3.9800000000000002E-2</v>
      </c>
      <c r="D31" s="17">
        <v>2.81E-2</v>
      </c>
      <c r="E31" s="17">
        <v>3.2800000000000003E-2</v>
      </c>
      <c r="F31" s="17">
        <v>4.36E-2</v>
      </c>
      <c r="G31" s="17">
        <v>-2.1000000000000001E-2</v>
      </c>
      <c r="H31" s="17">
        <v>2.5399999999999999E-2</v>
      </c>
      <c r="I31" s="17">
        <v>8.6E-3</v>
      </c>
      <c r="J31" s="17">
        <v>2.7199999999999998E-2</v>
      </c>
      <c r="K31" s="17">
        <v>1.1599999999999999E-2</v>
      </c>
      <c r="L31" s="17">
        <v>1.5699999999999999E-2</v>
      </c>
      <c r="M31" s="17">
        <v>0.02</v>
      </c>
      <c r="N31" s="17">
        <v>1.17</v>
      </c>
      <c r="O31" s="17">
        <v>1.6999999999999999E-3</v>
      </c>
      <c r="P31" s="17">
        <v>1.06</v>
      </c>
      <c r="Q31" s="17">
        <v>0.79</v>
      </c>
      <c r="R31" s="17">
        <v>0.998</v>
      </c>
      <c r="S31" s="17">
        <v>0.95</v>
      </c>
      <c r="T31" s="17">
        <v>20081231</v>
      </c>
      <c r="U31" s="17">
        <v>20190731</v>
      </c>
      <c r="V31" s="17">
        <v>128</v>
      </c>
    </row>
    <row r="32" spans="1:22">
      <c r="A32" s="17" t="s">
        <v>1896</v>
      </c>
      <c r="B32" s="17">
        <v>6.7999999999999996E-3</v>
      </c>
      <c r="C32" s="17">
        <v>5.5199999999999999E-2</v>
      </c>
      <c r="D32" s="17">
        <v>2.12E-2</v>
      </c>
      <c r="E32" s="17">
        <v>2.07E-2</v>
      </c>
      <c r="F32" s="17">
        <v>6.0100000000000001E-2</v>
      </c>
      <c r="G32" s="17">
        <v>-2.01E-2</v>
      </c>
      <c r="H32" s="17">
        <v>2.69E-2</v>
      </c>
      <c r="I32" s="17">
        <v>1.2500000000000001E-2</v>
      </c>
      <c r="J32" s="17">
        <v>5.0299999999999997E-2</v>
      </c>
      <c r="K32" s="17">
        <v>1.67E-2</v>
      </c>
      <c r="L32" s="17">
        <v>1.9699999999999999E-2</v>
      </c>
      <c r="M32" s="17">
        <v>2.5000000000000001E-2</v>
      </c>
      <c r="N32" s="17">
        <v>1.06</v>
      </c>
      <c r="O32" s="17">
        <v>2.0999999999999999E-3</v>
      </c>
      <c r="P32" s="17">
        <v>0.94</v>
      </c>
      <c r="Q32" s="17">
        <v>1.05</v>
      </c>
      <c r="R32" s="17">
        <v>0.996</v>
      </c>
      <c r="S32" s="17">
        <v>0.98</v>
      </c>
      <c r="T32" s="17">
        <v>20081231</v>
      </c>
      <c r="U32" s="17">
        <v>20190731</v>
      </c>
      <c r="V32" s="17">
        <v>128</v>
      </c>
    </row>
    <row r="33" spans="1:22">
      <c r="A33" s="17" t="s">
        <v>1897</v>
      </c>
      <c r="B33" s="17">
        <v>2.58E-2</v>
      </c>
      <c r="C33" s="17">
        <v>1.4999999999999999E-2</v>
      </c>
      <c r="D33" s="17">
        <v>1.6199999999999999E-2</v>
      </c>
      <c r="E33" s="17">
        <v>3.5999999999999999E-3</v>
      </c>
      <c r="F33" s="17">
        <v>1.5800000000000002E-2</v>
      </c>
      <c r="G33" s="17">
        <v>1.6000000000000001E-3</v>
      </c>
      <c r="H33" s="17">
        <v>1.17E-2</v>
      </c>
      <c r="I33" s="17">
        <v>1.2999999999999999E-2</v>
      </c>
      <c r="J33" s="17">
        <v>-1.1299999999999999E-2</v>
      </c>
      <c r="K33" s="17">
        <v>1.0699999999999999E-2</v>
      </c>
      <c r="L33" s="17">
        <v>-6.7999999999999996E-3</v>
      </c>
      <c r="M33" s="17">
        <v>8.9999999999999993E-3</v>
      </c>
      <c r="N33" s="17">
        <v>0.64</v>
      </c>
      <c r="O33" s="34">
        <v>5.9999999999999995E-4</v>
      </c>
      <c r="P33" s="17">
        <v>0.46</v>
      </c>
      <c r="Q33" s="17">
        <v>0.26</v>
      </c>
      <c r="R33" s="17">
        <v>0.749</v>
      </c>
      <c r="S33" s="17">
        <v>0.94</v>
      </c>
      <c r="T33" s="17">
        <v>20081231</v>
      </c>
      <c r="U33" s="17">
        <v>20190731</v>
      </c>
      <c r="V33" s="17">
        <v>128</v>
      </c>
    </row>
    <row r="34" spans="1:22">
      <c r="A34" s="17" t="s">
        <v>1937</v>
      </c>
      <c r="B34" s="17">
        <v>1.5800000000000002E-2</v>
      </c>
      <c r="C34" s="17">
        <v>-2.8999999999999998E-3</v>
      </c>
      <c r="D34" s="17">
        <v>3.7000000000000002E-3</v>
      </c>
      <c r="E34" s="17">
        <v>1.1000000000000001E-3</v>
      </c>
      <c r="F34" s="17">
        <v>2.8999999999999998E-3</v>
      </c>
      <c r="G34" s="17">
        <v>4.4000000000000003E-3</v>
      </c>
      <c r="H34" s="17">
        <v>-1.0699999999999999E-2</v>
      </c>
      <c r="I34" s="17">
        <v>2.1899999999999999E-2</v>
      </c>
      <c r="J34" s="17">
        <v>-4.8999999999999998E-3</v>
      </c>
      <c r="K34" s="17">
        <v>4.7999999999999996E-3</v>
      </c>
      <c r="L34" s="17">
        <v>1.84E-2</v>
      </c>
      <c r="M34" s="17">
        <v>5.0000000000000001E-3</v>
      </c>
      <c r="N34" s="17">
        <v>0.38</v>
      </c>
      <c r="O34" s="34">
        <v>2.0000000000000001E-4</v>
      </c>
      <c r="P34" s="17">
        <v>0.19</v>
      </c>
      <c r="Q34" s="17">
        <v>0.1</v>
      </c>
      <c r="R34" s="17">
        <v>0.95899999999999996</v>
      </c>
      <c r="S34" s="17">
        <v>0.97</v>
      </c>
      <c r="T34" s="17">
        <v>20081231</v>
      </c>
      <c r="U34" s="17">
        <v>20190731</v>
      </c>
      <c r="V34" s="17">
        <v>128</v>
      </c>
    </row>
    <row r="35" spans="1:22">
      <c r="A35" s="17" t="s">
        <v>1938</v>
      </c>
      <c r="B35" s="17">
        <v>-2.7000000000000001E-3</v>
      </c>
      <c r="C35" s="17">
        <v>1.1999999999999999E-3</v>
      </c>
      <c r="D35" s="17">
        <v>3.1199999999999999E-2</v>
      </c>
      <c r="E35" s="17">
        <v>5.4999999999999997E-3</v>
      </c>
      <c r="F35" s="17">
        <v>2.3999999999999998E-3</v>
      </c>
      <c r="G35" s="17">
        <v>9.2999999999999992E-3</v>
      </c>
      <c r="H35" s="34">
        <v>2.0000000000000001E-4</v>
      </c>
      <c r="I35" s="17">
        <v>6.1999999999999998E-3</v>
      </c>
      <c r="J35" s="17">
        <v>8.6999999999999994E-3</v>
      </c>
      <c r="K35" s="17">
        <v>1.0999999999999999E-2</v>
      </c>
      <c r="L35" s="17">
        <v>-1.8E-3</v>
      </c>
      <c r="M35" s="17">
        <v>7.0000000000000001E-3</v>
      </c>
      <c r="N35" s="17">
        <v>0.7</v>
      </c>
      <c r="O35" s="34">
        <v>5.9999999999999995E-4</v>
      </c>
      <c r="P35" s="17">
        <v>0.8</v>
      </c>
      <c r="Q35" s="17">
        <v>0.27</v>
      </c>
      <c r="R35" s="17">
        <v>0.95299999999999996</v>
      </c>
      <c r="S35" s="17">
        <v>0.65</v>
      </c>
      <c r="T35" s="17">
        <v>20081231</v>
      </c>
      <c r="U35" s="17">
        <v>20190731</v>
      </c>
      <c r="V35" s="17">
        <v>128</v>
      </c>
    </row>
    <row r="36" spans="1:22">
      <c r="A36" s="17" t="s">
        <v>1898</v>
      </c>
      <c r="B36" s="17">
        <v>1.84E-2</v>
      </c>
      <c r="C36" s="17">
        <v>4.9099999999999998E-2</v>
      </c>
      <c r="D36" s="17">
        <v>2.6599999999999999E-2</v>
      </c>
      <c r="E36" s="17">
        <v>2.1399999999999999E-2</v>
      </c>
      <c r="F36" s="17">
        <v>3.1600000000000003E-2</v>
      </c>
      <c r="G36" s="17">
        <v>1.54E-2</v>
      </c>
      <c r="H36" s="17">
        <v>3.3799999999999997E-2</v>
      </c>
      <c r="I36" s="17">
        <v>2.4299999999999999E-2</v>
      </c>
      <c r="J36" s="17">
        <v>-6.4000000000000003E-3</v>
      </c>
      <c r="K36" s="17">
        <v>1.89E-2</v>
      </c>
      <c r="L36" s="17">
        <v>1.78E-2</v>
      </c>
      <c r="M36" s="17">
        <v>2.3E-2</v>
      </c>
      <c r="N36" s="17">
        <v>1.51</v>
      </c>
      <c r="O36" s="17">
        <v>1.6000000000000001E-3</v>
      </c>
      <c r="P36" s="17">
        <v>1.41</v>
      </c>
      <c r="Q36" s="17">
        <v>0.71</v>
      </c>
      <c r="R36" s="17">
        <v>0.86299999999999999</v>
      </c>
      <c r="S36" s="17">
        <v>0.8</v>
      </c>
      <c r="T36" s="17">
        <v>20081231</v>
      </c>
      <c r="U36" s="17">
        <v>20190731</v>
      </c>
      <c r="V36" s="17">
        <v>128</v>
      </c>
    </row>
    <row r="37" spans="1:22">
      <c r="A37" s="17" t="s">
        <v>1918</v>
      </c>
      <c r="B37" s="17">
        <v>1.5100000000000001E-2</v>
      </c>
      <c r="C37" s="17">
        <v>4.8899999999999999E-2</v>
      </c>
      <c r="D37" s="17">
        <v>2.4199999999999999E-2</v>
      </c>
      <c r="E37" s="17">
        <v>3.2500000000000001E-2</v>
      </c>
      <c r="F37" s="17">
        <v>5.1900000000000002E-2</v>
      </c>
      <c r="G37" s="17">
        <v>-1.2E-2</v>
      </c>
      <c r="H37" s="17">
        <v>4.3700000000000003E-2</v>
      </c>
      <c r="I37" s="17">
        <v>3.1199999999999999E-2</v>
      </c>
      <c r="J37" s="17">
        <v>5.0799999999999998E-2</v>
      </c>
      <c r="K37" s="17">
        <v>2.4400000000000002E-2</v>
      </c>
      <c r="L37" s="17">
        <v>1.46E-2</v>
      </c>
      <c r="M37" s="17">
        <v>0.03</v>
      </c>
      <c r="N37" s="17">
        <v>1.37</v>
      </c>
      <c r="O37" s="17">
        <v>2.0999999999999999E-3</v>
      </c>
      <c r="P37" s="17">
        <v>0.94</v>
      </c>
      <c r="Q37" s="17">
        <v>1.05</v>
      </c>
      <c r="R37" s="17">
        <v>0.995</v>
      </c>
      <c r="S37" s="17">
        <v>0.98</v>
      </c>
      <c r="T37" s="17">
        <v>20081231</v>
      </c>
      <c r="U37" s="17">
        <v>20190731</v>
      </c>
      <c r="V37" s="17">
        <v>128</v>
      </c>
    </row>
    <row r="38" spans="1:22">
      <c r="A38" s="17" t="s">
        <v>1920</v>
      </c>
      <c r="B38" s="17">
        <v>2.4500000000000001E-2</v>
      </c>
      <c r="C38" s="17">
        <v>5.6599999999999998E-2</v>
      </c>
      <c r="D38" s="17">
        <v>3.2199999999999999E-2</v>
      </c>
      <c r="E38" s="17">
        <v>3.56E-2</v>
      </c>
      <c r="F38" s="17">
        <v>5.5399999999999998E-2</v>
      </c>
      <c r="G38" s="17">
        <v>-2.8999999999999998E-3</v>
      </c>
      <c r="H38" s="17">
        <v>5.0599999999999999E-2</v>
      </c>
      <c r="I38" s="17">
        <v>3.5999999999999997E-2</v>
      </c>
      <c r="J38" s="17">
        <v>5.5300000000000002E-2</v>
      </c>
      <c r="K38" s="17">
        <v>2.92E-2</v>
      </c>
      <c r="L38" s="17">
        <v>2.0500000000000001E-2</v>
      </c>
      <c r="M38" s="17">
        <v>3.5999999999999997E-2</v>
      </c>
      <c r="N38" s="17">
        <v>1.63</v>
      </c>
      <c r="O38" s="17">
        <v>2.5999999999999999E-3</v>
      </c>
      <c r="P38" s="17">
        <v>1.19</v>
      </c>
      <c r="Q38" s="17">
        <v>1.22</v>
      </c>
      <c r="R38" s="17">
        <v>0.95799999999999996</v>
      </c>
      <c r="S38" s="17">
        <v>0.97</v>
      </c>
      <c r="T38" s="17">
        <v>20081231</v>
      </c>
      <c r="U38" s="17">
        <v>20190731</v>
      </c>
      <c r="V38" s="17">
        <v>128</v>
      </c>
    </row>
    <row r="39" spans="1:22">
      <c r="A39" s="17" t="s">
        <v>1899</v>
      </c>
      <c r="B39" s="17">
        <v>1.67E-2</v>
      </c>
      <c r="C39" s="17">
        <v>1.3599999999999999E-2</v>
      </c>
      <c r="D39" s="17">
        <v>1.04E-2</v>
      </c>
      <c r="E39" s="17">
        <v>7.3000000000000001E-3</v>
      </c>
      <c r="F39" s="17">
        <v>3.7100000000000001E-2</v>
      </c>
      <c r="G39" s="17">
        <v>-2.2100000000000002E-2</v>
      </c>
      <c r="H39" s="17">
        <v>2.1499999999999998E-2</v>
      </c>
      <c r="I39" s="17">
        <v>1.4E-3</v>
      </c>
      <c r="J39" s="34">
        <v>-5.0000000000000001E-4</v>
      </c>
      <c r="K39" s="17">
        <v>1.38E-2</v>
      </c>
      <c r="L39" s="17">
        <v>1.26E-2</v>
      </c>
      <c r="M39" s="17">
        <v>0.01</v>
      </c>
      <c r="N39" s="17">
        <v>0.63</v>
      </c>
      <c r="O39" s="34">
        <v>8.9999999999999998E-4</v>
      </c>
      <c r="P39" s="17">
        <v>0.56000000000000005</v>
      </c>
      <c r="Q39" s="17">
        <v>0.48</v>
      </c>
      <c r="R39" s="17">
        <v>0.999</v>
      </c>
      <c r="S39" s="17">
        <v>0.99</v>
      </c>
      <c r="T39" s="17">
        <v>20081231</v>
      </c>
      <c r="U39" s="17">
        <v>20190731</v>
      </c>
      <c r="V39" s="17">
        <v>128</v>
      </c>
    </row>
    <row r="40" spans="1:22">
      <c r="A40" s="17" t="s">
        <v>1900</v>
      </c>
      <c r="B40" s="17">
        <v>2.3699999999999999E-2</v>
      </c>
      <c r="C40" s="17">
        <v>4.1099999999999998E-2</v>
      </c>
      <c r="D40" s="17">
        <v>3.1600000000000003E-2</v>
      </c>
      <c r="E40" s="17">
        <v>1.9400000000000001E-2</v>
      </c>
      <c r="F40" s="17">
        <v>2.93E-2</v>
      </c>
      <c r="G40" s="17">
        <v>3.7400000000000003E-2</v>
      </c>
      <c r="H40" s="17">
        <v>3.95E-2</v>
      </c>
      <c r="I40" s="17">
        <v>5.5599999999999997E-2</v>
      </c>
      <c r="J40" s="17">
        <v>2.7900000000000001E-2</v>
      </c>
      <c r="K40" s="17">
        <v>1.24E-2</v>
      </c>
      <c r="L40" s="17">
        <v>2.1399999999999999E-2</v>
      </c>
      <c r="M40" s="17">
        <v>3.1E-2</v>
      </c>
      <c r="N40" s="17">
        <v>3.48</v>
      </c>
      <c r="O40" s="17">
        <v>1.5E-3</v>
      </c>
      <c r="P40" s="17">
        <v>1.63</v>
      </c>
      <c r="Q40" s="17">
        <v>0.84</v>
      </c>
      <c r="R40" s="17">
        <v>0.998</v>
      </c>
      <c r="S40" s="17">
        <v>0.98</v>
      </c>
      <c r="T40" s="17">
        <v>20081231</v>
      </c>
      <c r="U40" s="17">
        <v>20190731</v>
      </c>
      <c r="V40" s="17">
        <v>128</v>
      </c>
    </row>
    <row r="41" spans="1:22">
      <c r="A41" s="17" t="s">
        <v>1901</v>
      </c>
      <c r="B41" s="17">
        <v>2.8899999999999999E-2</v>
      </c>
      <c r="C41" s="17">
        <v>4.4200000000000003E-2</v>
      </c>
      <c r="D41" s="17">
        <v>3.3000000000000002E-2</v>
      </c>
      <c r="E41" s="17">
        <v>2.24E-2</v>
      </c>
      <c r="F41" s="17">
        <v>2.7799999999999998E-2</v>
      </c>
      <c r="G41" s="17">
        <v>4.5699999999999998E-2</v>
      </c>
      <c r="H41" s="17">
        <v>4.4900000000000002E-2</v>
      </c>
      <c r="I41" s="17">
        <v>6.4899999999999999E-2</v>
      </c>
      <c r="J41" s="17">
        <v>3.15E-2</v>
      </c>
      <c r="K41" s="17">
        <v>1.44E-2</v>
      </c>
      <c r="L41" s="17">
        <v>2.29E-2</v>
      </c>
      <c r="M41" s="17">
        <v>3.5000000000000003E-2</v>
      </c>
      <c r="N41" s="17">
        <v>3.42</v>
      </c>
      <c r="O41" s="17">
        <v>1.5E-3</v>
      </c>
      <c r="P41" s="17">
        <v>1.49</v>
      </c>
      <c r="Q41" s="17">
        <v>0.87</v>
      </c>
      <c r="R41" s="17">
        <v>0.998</v>
      </c>
      <c r="S41" s="17">
        <v>0.98</v>
      </c>
      <c r="T41" s="17">
        <v>20081231</v>
      </c>
      <c r="U41" s="17">
        <v>20190731</v>
      </c>
      <c r="V41" s="17">
        <v>128</v>
      </c>
    </row>
    <row r="42" spans="1:22">
      <c r="A42" s="17" t="s">
        <v>1902</v>
      </c>
      <c r="B42" s="17">
        <v>-4.5999999999999999E-3</v>
      </c>
      <c r="C42" s="17">
        <v>-6.4999999999999997E-3</v>
      </c>
      <c r="D42" s="17">
        <v>6.1000000000000004E-3</v>
      </c>
      <c r="E42" s="17">
        <v>8.8999999999999999E-3</v>
      </c>
      <c r="F42" s="17">
        <v>4.0899999999999999E-2</v>
      </c>
      <c r="G42" s="17">
        <v>-2.8999999999999998E-3</v>
      </c>
      <c r="H42" s="17">
        <v>4.82E-2</v>
      </c>
      <c r="I42" s="17">
        <v>8.6E-3</v>
      </c>
      <c r="J42" s="17">
        <v>-2.1700000000000001E-2</v>
      </c>
      <c r="K42" s="17">
        <v>-1.34E-2</v>
      </c>
      <c r="L42" s="17">
        <v>-3.8999999999999998E-3</v>
      </c>
      <c r="M42" s="17">
        <v>6.0000000000000001E-3</v>
      </c>
      <c r="N42" s="17">
        <v>0.32</v>
      </c>
      <c r="O42" s="34">
        <v>4.0000000000000002E-4</v>
      </c>
      <c r="P42" s="17">
        <v>0.22</v>
      </c>
      <c r="Q42" s="17">
        <v>0.08</v>
      </c>
      <c r="R42" s="17">
        <v>0.73199999999999998</v>
      </c>
      <c r="S42" s="17">
        <v>0.99</v>
      </c>
      <c r="T42" s="17">
        <v>20081231</v>
      </c>
      <c r="U42" s="17">
        <v>20190731</v>
      </c>
      <c r="V42" s="17">
        <v>128</v>
      </c>
    </row>
    <row r="43" spans="1:22">
      <c r="A43" s="17" t="s">
        <v>1903</v>
      </c>
      <c r="B43" s="17">
        <v>3.4200000000000001E-2</v>
      </c>
      <c r="C43" s="17">
        <v>2.1000000000000001E-2</v>
      </c>
      <c r="D43" s="17">
        <v>2.5000000000000001E-2</v>
      </c>
      <c r="E43" s="17">
        <v>2.29E-2</v>
      </c>
      <c r="F43" s="17">
        <v>5.8099999999999999E-2</v>
      </c>
      <c r="G43" s="17">
        <v>-2.8999999999999998E-3</v>
      </c>
      <c r="H43" s="17">
        <v>3.8199999999999998E-2</v>
      </c>
      <c r="I43" s="17">
        <v>2.7099999999999999E-2</v>
      </c>
      <c r="J43" s="17">
        <v>2.1700000000000001E-2</v>
      </c>
      <c r="K43" s="17">
        <v>3.6299999999999999E-2</v>
      </c>
      <c r="L43" s="17">
        <v>2.1700000000000001E-2</v>
      </c>
      <c r="M43" s="17">
        <v>2.8000000000000001E-2</v>
      </c>
      <c r="N43" s="17">
        <v>1.8</v>
      </c>
      <c r="O43" s="17">
        <v>2.3E-3</v>
      </c>
      <c r="P43" s="17">
        <v>1.58</v>
      </c>
      <c r="Q43" s="17">
        <v>1.06</v>
      </c>
      <c r="R43" s="17">
        <v>0.97799999999999998</v>
      </c>
      <c r="S43" s="17">
        <v>0.94</v>
      </c>
      <c r="T43" s="17">
        <v>20081231</v>
      </c>
      <c r="U43" s="17">
        <v>20190731</v>
      </c>
      <c r="V43" s="17">
        <v>128</v>
      </c>
    </row>
    <row r="44" spans="1:22">
      <c r="A44" s="17" t="s">
        <v>1904</v>
      </c>
      <c r="B44" s="17">
        <v>1.3100000000000001E-2</v>
      </c>
      <c r="C44" s="34">
        <v>8.0000000000000004E-4</v>
      </c>
      <c r="D44" s="17">
        <v>7.7000000000000002E-3</v>
      </c>
      <c r="E44" s="17">
        <v>-2E-3</v>
      </c>
      <c r="F44" s="17">
        <v>8.8999999999999999E-3</v>
      </c>
      <c r="G44" s="17">
        <v>1.15E-2</v>
      </c>
      <c r="H44" s="17">
        <v>1.8700000000000001E-2</v>
      </c>
      <c r="I44" s="17">
        <v>7.6E-3</v>
      </c>
      <c r="J44" s="17">
        <v>1.9E-2</v>
      </c>
      <c r="K44" s="17">
        <v>2.5100000000000001E-2</v>
      </c>
      <c r="L44" s="17">
        <v>2.6200000000000001E-2</v>
      </c>
      <c r="M44" s="17">
        <v>1.2E-2</v>
      </c>
      <c r="N44" s="17">
        <v>1.34</v>
      </c>
      <c r="O44" s="34">
        <v>5.9999999999999995E-4</v>
      </c>
      <c r="P44" s="17">
        <v>0.88</v>
      </c>
      <c r="Q44" s="17">
        <v>0.31</v>
      </c>
      <c r="R44" s="17">
        <v>0.998</v>
      </c>
      <c r="S44" s="17">
        <v>0.73</v>
      </c>
      <c r="T44" s="17">
        <v>20081231</v>
      </c>
      <c r="U44" s="17">
        <v>20190731</v>
      </c>
      <c r="V44" s="17">
        <v>128</v>
      </c>
    </row>
    <row r="45" spans="1:22">
      <c r="A45" s="17" t="s">
        <v>1905</v>
      </c>
      <c r="B45" s="17">
        <v>2.4400000000000002E-2</v>
      </c>
      <c r="C45" s="17">
        <v>2.1600000000000001E-2</v>
      </c>
      <c r="D45" s="17">
        <v>1.83E-2</v>
      </c>
      <c r="E45" s="17">
        <v>1.2E-2</v>
      </c>
      <c r="F45" s="17">
        <v>2.8899999999999999E-2</v>
      </c>
      <c r="G45" s="17">
        <v>4.4000000000000003E-3</v>
      </c>
      <c r="H45" s="17">
        <v>2.1299999999999999E-2</v>
      </c>
      <c r="I45" s="17">
        <v>3.2300000000000002E-2</v>
      </c>
      <c r="J45" s="17">
        <v>3.2599999999999997E-2</v>
      </c>
      <c r="K45" s="17">
        <v>3.8100000000000002E-2</v>
      </c>
      <c r="L45" s="17">
        <v>3.3500000000000002E-2</v>
      </c>
      <c r="M45" s="17">
        <v>2.4E-2</v>
      </c>
      <c r="N45" s="17">
        <v>2.0099999999999998</v>
      </c>
      <c r="O45" s="17">
        <v>1.8E-3</v>
      </c>
      <c r="P45" s="17">
        <v>1.44</v>
      </c>
      <c r="Q45" s="17">
        <v>0.94</v>
      </c>
      <c r="R45" s="17">
        <v>0.999</v>
      </c>
      <c r="S45" s="17">
        <v>0.94</v>
      </c>
      <c r="T45" s="17">
        <v>20081231</v>
      </c>
      <c r="U45" s="17">
        <v>20190731</v>
      </c>
      <c r="V45" s="17">
        <v>128</v>
      </c>
    </row>
    <row r="46" spans="1:22">
      <c r="A46" s="17" t="s">
        <v>1939</v>
      </c>
      <c r="B46" s="17">
        <v>1.67E-2</v>
      </c>
      <c r="C46" s="17">
        <v>1.1599999999999999E-2</v>
      </c>
      <c r="D46" s="17">
        <v>1.2500000000000001E-2</v>
      </c>
      <c r="E46" s="17">
        <v>-5.4999999999999997E-3</v>
      </c>
      <c r="F46" s="17">
        <v>5.7000000000000002E-3</v>
      </c>
      <c r="G46" s="17">
        <v>-1.12E-2</v>
      </c>
      <c r="H46" s="17">
        <v>1.26E-2</v>
      </c>
      <c r="I46" s="17">
        <v>-8.0999999999999996E-3</v>
      </c>
      <c r="J46" s="17">
        <v>9.7999999999999997E-3</v>
      </c>
      <c r="K46" s="17">
        <v>1.06E-2</v>
      </c>
      <c r="L46" s="17">
        <v>-1.6999999999999999E-3</v>
      </c>
      <c r="M46" s="17">
        <v>5.0000000000000001E-3</v>
      </c>
      <c r="N46" s="17">
        <v>0.55000000000000004</v>
      </c>
      <c r="O46" s="34">
        <v>4.0000000000000002E-4</v>
      </c>
      <c r="P46" s="17">
        <v>0.46</v>
      </c>
      <c r="Q46" s="17">
        <v>0.17</v>
      </c>
      <c r="R46" s="17">
        <v>0.999</v>
      </c>
      <c r="S46" s="17">
        <v>0.68</v>
      </c>
      <c r="T46" s="17">
        <v>20081231</v>
      </c>
      <c r="U46" s="17">
        <v>20190731</v>
      </c>
      <c r="V46" s="17">
        <v>128</v>
      </c>
    </row>
    <row r="47" spans="1:22">
      <c r="A47" s="17" t="s">
        <v>1906</v>
      </c>
      <c r="B47" s="17">
        <v>-4.7000000000000002E-3</v>
      </c>
      <c r="C47" s="17">
        <v>2.9399999999999999E-2</v>
      </c>
      <c r="D47" s="17">
        <v>9.7999999999999997E-3</v>
      </c>
      <c r="E47" s="17">
        <v>1.6E-2</v>
      </c>
      <c r="F47" s="17">
        <v>2.1399999999999999E-2</v>
      </c>
      <c r="G47" s="17">
        <v>1.6199999999999999E-2</v>
      </c>
      <c r="H47" s="17">
        <v>1.66E-2</v>
      </c>
      <c r="I47" s="17">
        <v>2.0299999999999999E-2</v>
      </c>
      <c r="J47" s="34">
        <v>2.0000000000000001E-4</v>
      </c>
      <c r="K47" s="17">
        <v>5.4999999999999997E-3</v>
      </c>
      <c r="L47" s="17">
        <v>7.7999999999999996E-3</v>
      </c>
      <c r="M47" s="17">
        <v>1.2999999999999999E-2</v>
      </c>
      <c r="N47" s="17">
        <v>0.89</v>
      </c>
      <c r="O47" s="17">
        <v>1.1000000000000001E-3</v>
      </c>
      <c r="P47" s="17">
        <v>0.93</v>
      </c>
      <c r="Q47" s="17">
        <v>0.52</v>
      </c>
      <c r="R47" s="17">
        <v>0.86799999999999999</v>
      </c>
      <c r="S47" s="17">
        <v>0.85</v>
      </c>
      <c r="T47" s="17">
        <v>20081231</v>
      </c>
      <c r="U47" s="17">
        <v>20190731</v>
      </c>
      <c r="V47" s="17">
        <v>128</v>
      </c>
    </row>
    <row r="48" spans="1:22">
      <c r="A48" s="17" t="s">
        <v>1907</v>
      </c>
      <c r="B48" s="17">
        <v>-1.6999999999999999E-3</v>
      </c>
      <c r="C48" s="17">
        <v>1.4E-2</v>
      </c>
      <c r="D48" s="17">
        <v>3.32E-2</v>
      </c>
      <c r="E48" s="17">
        <v>3.4500000000000003E-2</v>
      </c>
      <c r="F48" s="17">
        <v>4.4499999999999998E-2</v>
      </c>
      <c r="G48" s="17">
        <v>1.32E-2</v>
      </c>
      <c r="H48" s="17">
        <v>2.4E-2</v>
      </c>
      <c r="I48" s="17">
        <v>2.41E-2</v>
      </c>
      <c r="J48" s="17">
        <v>3.8600000000000002E-2</v>
      </c>
      <c r="K48" s="17">
        <v>3.9899999999999998E-2</v>
      </c>
      <c r="L48" s="17">
        <v>0.04</v>
      </c>
      <c r="M48" s="17">
        <v>2.7E-2</v>
      </c>
      <c r="N48" s="17">
        <v>1.91</v>
      </c>
      <c r="O48" s="17">
        <v>2.0999999999999999E-3</v>
      </c>
      <c r="P48" s="17">
        <v>1.52</v>
      </c>
      <c r="Q48" s="17">
        <v>1.05</v>
      </c>
      <c r="R48" s="17">
        <v>0.999</v>
      </c>
      <c r="S48" s="17">
        <v>0.9</v>
      </c>
      <c r="T48" s="17">
        <v>20081231</v>
      </c>
      <c r="U48" s="17">
        <v>20190731</v>
      </c>
      <c r="V48" s="17">
        <v>128</v>
      </c>
    </row>
    <row r="49" spans="1:22">
      <c r="A49" s="17" t="s">
        <v>1935</v>
      </c>
      <c r="B49" s="17">
        <v>1.5699999999999999E-2</v>
      </c>
      <c r="C49" s="17">
        <v>-2.8999999999999998E-3</v>
      </c>
      <c r="D49" s="34">
        <v>8.0000000000000004E-4</v>
      </c>
      <c r="E49" s="17">
        <v>1.11E-2</v>
      </c>
      <c r="F49" s="17">
        <v>9.7999999999999997E-3</v>
      </c>
      <c r="G49" s="17">
        <v>-1.55E-2</v>
      </c>
      <c r="H49" s="17">
        <v>1.2800000000000001E-2</v>
      </c>
      <c r="I49" s="17">
        <v>-1.1000000000000001E-3</v>
      </c>
      <c r="J49" s="17">
        <v>-7.9000000000000008E-3</v>
      </c>
      <c r="K49" s="17">
        <v>1.4500000000000001E-2</v>
      </c>
      <c r="L49" s="17">
        <v>-4.3E-3</v>
      </c>
      <c r="M49" s="17">
        <v>3.0000000000000001E-3</v>
      </c>
      <c r="N49" s="17">
        <v>0.28000000000000003</v>
      </c>
      <c r="O49" s="34">
        <v>1E-4</v>
      </c>
      <c r="P49" s="17">
        <v>0.06</v>
      </c>
      <c r="Q49" s="17">
        <v>0.04</v>
      </c>
      <c r="R49" s="17">
        <v>0.97799999999999998</v>
      </c>
      <c r="S49" s="17">
        <v>0.92</v>
      </c>
      <c r="T49" s="17">
        <v>20081231</v>
      </c>
      <c r="U49" s="17">
        <v>20190731</v>
      </c>
      <c r="V49" s="17">
        <v>128</v>
      </c>
    </row>
    <row r="50" spans="1:22">
      <c r="A50" s="17" t="s">
        <v>1936</v>
      </c>
      <c r="B50" s="17">
        <v>-7.0000000000000001E-3</v>
      </c>
      <c r="C50" s="17">
        <v>4.0000000000000001E-3</v>
      </c>
      <c r="D50" s="17">
        <v>2.0500000000000001E-2</v>
      </c>
      <c r="E50" s="17">
        <v>6.3E-3</v>
      </c>
      <c r="F50" s="17">
        <v>-1.21E-2</v>
      </c>
      <c r="G50" s="17">
        <v>-6.4000000000000003E-3</v>
      </c>
      <c r="H50" s="17">
        <v>-1.0699999999999999E-2</v>
      </c>
      <c r="I50" s="17">
        <v>2.3999999999999998E-3</v>
      </c>
      <c r="J50" s="17">
        <v>4.4999999999999997E-3</v>
      </c>
      <c r="K50" s="17">
        <v>4.5999999999999999E-3</v>
      </c>
      <c r="L50" s="17">
        <v>-3.5999999999999999E-3</v>
      </c>
      <c r="M50" s="17">
        <v>0</v>
      </c>
      <c r="N50" s="17">
        <v>0.04</v>
      </c>
      <c r="O50" s="34">
        <v>6.9999999999999999E-4</v>
      </c>
      <c r="P50" s="17">
        <v>0.8</v>
      </c>
      <c r="Q50" s="17">
        <v>0.26</v>
      </c>
      <c r="R50" s="17">
        <v>0.97799999999999998</v>
      </c>
      <c r="S50" s="17">
        <v>0.43</v>
      </c>
      <c r="T50" s="17">
        <v>20081231</v>
      </c>
      <c r="U50" s="17">
        <v>20190731</v>
      </c>
      <c r="V50" s="17">
        <v>128</v>
      </c>
    </row>
    <row r="51" spans="1:22">
      <c r="A51" s="17" t="s">
        <v>1940</v>
      </c>
      <c r="B51" s="17">
        <v>1.38E-2</v>
      </c>
      <c r="C51" s="17">
        <v>1.6500000000000001E-2</v>
      </c>
      <c r="D51" s="17">
        <v>-1.8700000000000001E-2</v>
      </c>
      <c r="E51" s="17">
        <v>-1.84E-2</v>
      </c>
      <c r="F51" s="17">
        <v>1.55E-2</v>
      </c>
      <c r="G51" s="17">
        <v>-3.0099999999999998E-2</v>
      </c>
      <c r="H51" s="17">
        <v>-2.5600000000000001E-2</v>
      </c>
      <c r="I51" s="17">
        <v>-2.0999999999999999E-3</v>
      </c>
      <c r="J51" s="17">
        <v>-9.4000000000000004E-3</v>
      </c>
      <c r="K51" s="17">
        <v>1.7000000000000001E-2</v>
      </c>
      <c r="L51" s="17">
        <v>1.41E-2</v>
      </c>
      <c r="M51" s="17">
        <v>-3.0000000000000001E-3</v>
      </c>
      <c r="N51" s="17">
        <v>-0.22</v>
      </c>
      <c r="O51" s="34">
        <v>-1E-4</v>
      </c>
      <c r="P51" s="17">
        <v>-0.06</v>
      </c>
      <c r="Q51" s="17">
        <v>0.05</v>
      </c>
      <c r="R51" s="17">
        <v>0.97</v>
      </c>
      <c r="S51" s="17">
        <v>0.95</v>
      </c>
      <c r="T51" s="17">
        <v>20081231</v>
      </c>
      <c r="U51" s="17">
        <v>20190731</v>
      </c>
      <c r="V51" s="17">
        <v>128</v>
      </c>
    </row>
    <row r="52" spans="1:22">
      <c r="A52" s="17" t="s">
        <v>1945</v>
      </c>
      <c r="B52" s="17">
        <v>2.01E-2</v>
      </c>
      <c r="C52" s="17">
        <v>1.54E-2</v>
      </c>
      <c r="D52" s="17">
        <v>-1.4E-3</v>
      </c>
      <c r="E52" s="17">
        <v>2.1399999999999999E-2</v>
      </c>
      <c r="F52" s="34">
        <v>-5.0000000000000001E-4</v>
      </c>
      <c r="G52" s="17">
        <v>6.4000000000000003E-3</v>
      </c>
      <c r="H52" s="17">
        <v>1.9800000000000002E-2</v>
      </c>
      <c r="I52" s="17">
        <v>-1.11E-2</v>
      </c>
      <c r="J52" s="17">
        <v>-5.0000000000000001E-3</v>
      </c>
      <c r="K52" s="17">
        <v>4.4000000000000003E-3</v>
      </c>
      <c r="L52" s="17">
        <v>-1.0200000000000001E-2</v>
      </c>
      <c r="M52" s="17">
        <v>6.0000000000000001E-3</v>
      </c>
      <c r="N52" s="17">
        <v>0.49</v>
      </c>
      <c r="O52" s="34">
        <v>-2.0000000000000001E-4</v>
      </c>
      <c r="P52" s="17">
        <v>-0.23</v>
      </c>
      <c r="Q52" s="17">
        <v>-0.09</v>
      </c>
      <c r="R52" s="17">
        <v>0.96899999999999997</v>
      </c>
      <c r="S52" s="17">
        <v>0.64</v>
      </c>
      <c r="T52" s="17">
        <v>20081231</v>
      </c>
      <c r="U52" s="17">
        <v>20190731</v>
      </c>
      <c r="V52" s="17">
        <v>128</v>
      </c>
    </row>
    <row r="53" spans="1:22">
      <c r="A53" s="17" t="s">
        <v>1908</v>
      </c>
      <c r="B53" s="17">
        <v>1.6400000000000001E-2</v>
      </c>
      <c r="C53" s="17">
        <v>3.8100000000000002E-2</v>
      </c>
      <c r="D53" s="17">
        <v>2.5499999999999998E-2</v>
      </c>
      <c r="E53" s="17">
        <v>2.8199999999999999E-2</v>
      </c>
      <c r="F53" s="17">
        <v>5.2200000000000003E-2</v>
      </c>
      <c r="G53" s="17">
        <v>-1.0800000000000001E-2</v>
      </c>
      <c r="H53" s="17">
        <v>4.1000000000000002E-2</v>
      </c>
      <c r="I53" s="17">
        <v>2.9600000000000001E-2</v>
      </c>
      <c r="J53" s="17">
        <v>4.87E-2</v>
      </c>
      <c r="K53" s="17">
        <v>2.3800000000000002E-2</v>
      </c>
      <c r="L53" s="17">
        <v>8.3000000000000001E-3</v>
      </c>
      <c r="M53" s="17">
        <v>2.8000000000000001E-2</v>
      </c>
      <c r="N53" s="17">
        <v>1.33</v>
      </c>
      <c r="O53" s="17">
        <v>1.8E-3</v>
      </c>
      <c r="P53" s="17">
        <v>0.85</v>
      </c>
      <c r="Q53" s="17">
        <v>0.92</v>
      </c>
      <c r="R53" s="17">
        <v>0.996</v>
      </c>
      <c r="S53" s="17">
        <v>0.97</v>
      </c>
      <c r="T53" s="17">
        <v>20081231</v>
      </c>
      <c r="U53" s="17">
        <v>20190731</v>
      </c>
      <c r="V53" s="17">
        <v>128</v>
      </c>
    </row>
    <row r="54" spans="1:22">
      <c r="A54" s="17" t="s">
        <v>1909</v>
      </c>
      <c r="B54" s="17">
        <v>4.0899999999999999E-2</v>
      </c>
      <c r="C54" s="17">
        <v>5.6899999999999999E-2</v>
      </c>
      <c r="D54" s="17">
        <v>3.9399999999999998E-2</v>
      </c>
      <c r="E54" s="17">
        <v>0.04</v>
      </c>
      <c r="F54" s="17">
        <v>6.7400000000000002E-2</v>
      </c>
      <c r="G54" s="34">
        <v>-5.0000000000000001E-4</v>
      </c>
      <c r="H54" s="17">
        <v>5.1700000000000003E-2</v>
      </c>
      <c r="I54" s="17">
        <v>3.3799999999999997E-2</v>
      </c>
      <c r="J54" s="17">
        <v>6.3899999999999998E-2</v>
      </c>
      <c r="K54" s="17">
        <v>5.0700000000000002E-2</v>
      </c>
      <c r="L54" s="17">
        <v>1.9099999999999999E-2</v>
      </c>
      <c r="M54" s="17">
        <v>4.2999999999999997E-2</v>
      </c>
      <c r="N54" s="17">
        <v>2.2200000000000002</v>
      </c>
      <c r="O54" s="17">
        <v>3.2000000000000002E-3</v>
      </c>
      <c r="P54" s="17">
        <v>1.57</v>
      </c>
      <c r="Q54" s="17">
        <v>1.51</v>
      </c>
      <c r="R54" s="17">
        <v>0.999</v>
      </c>
      <c r="S54" s="17">
        <v>0.86</v>
      </c>
      <c r="T54" s="17">
        <v>20081231</v>
      </c>
      <c r="U54" s="17">
        <v>20190731</v>
      </c>
      <c r="V54" s="17">
        <v>128</v>
      </c>
    </row>
    <row r="55" spans="1:22">
      <c r="A55" s="17" t="s">
        <v>1910</v>
      </c>
      <c r="B55" s="17">
        <v>1.67E-2</v>
      </c>
      <c r="C55" s="17">
        <v>4.58E-2</v>
      </c>
      <c r="D55" s="17">
        <v>2.5700000000000001E-2</v>
      </c>
      <c r="E55" s="17">
        <v>3.7100000000000001E-2</v>
      </c>
      <c r="F55" s="17">
        <v>4.8500000000000001E-2</v>
      </c>
      <c r="G55" s="17">
        <v>-1.9E-3</v>
      </c>
      <c r="H55" s="17">
        <v>4.53E-2</v>
      </c>
      <c r="I55" s="17">
        <v>3.4200000000000001E-2</v>
      </c>
      <c r="J55" s="17">
        <v>5.4899999999999997E-2</v>
      </c>
      <c r="K55" s="17">
        <v>2.4E-2</v>
      </c>
      <c r="L55" s="17">
        <v>1.83E-2</v>
      </c>
      <c r="M55" s="17">
        <v>3.2000000000000001E-2</v>
      </c>
      <c r="N55" s="17">
        <v>1.55</v>
      </c>
      <c r="O55" s="17">
        <v>2.2000000000000001E-3</v>
      </c>
      <c r="P55" s="17">
        <v>1.05</v>
      </c>
      <c r="Q55" s="17">
        <v>1.05</v>
      </c>
      <c r="R55" s="17">
        <v>0.99299999999999999</v>
      </c>
      <c r="S55" s="17">
        <v>0.96</v>
      </c>
      <c r="T55" s="17">
        <v>20081231</v>
      </c>
      <c r="U55" s="17">
        <v>20190731</v>
      </c>
      <c r="V55" s="17">
        <v>128</v>
      </c>
    </row>
    <row r="56" spans="1:22">
      <c r="A56" s="17" t="s">
        <v>1911</v>
      </c>
      <c r="B56" s="17">
        <v>4.4999999999999998E-2</v>
      </c>
      <c r="C56" s="17">
        <v>7.0300000000000001E-2</v>
      </c>
      <c r="D56" s="17">
        <v>4.6399999999999997E-2</v>
      </c>
      <c r="E56" s="17">
        <v>4.7100000000000003E-2</v>
      </c>
      <c r="F56" s="17">
        <v>7.1499999999999994E-2</v>
      </c>
      <c r="G56" s="17">
        <v>4.4999999999999997E-3</v>
      </c>
      <c r="H56" s="17">
        <v>5.91E-2</v>
      </c>
      <c r="I56" s="17">
        <v>3.9800000000000002E-2</v>
      </c>
      <c r="J56" s="17">
        <v>6.9400000000000003E-2</v>
      </c>
      <c r="K56" s="17">
        <v>5.2900000000000003E-2</v>
      </c>
      <c r="L56" s="17">
        <v>2.76E-2</v>
      </c>
      <c r="M56" s="17">
        <v>4.9000000000000002E-2</v>
      </c>
      <c r="N56" s="17">
        <v>2.48</v>
      </c>
      <c r="O56" s="17">
        <v>3.7000000000000002E-3</v>
      </c>
      <c r="P56" s="17">
        <v>1.82</v>
      </c>
      <c r="Q56" s="17">
        <v>1.69</v>
      </c>
      <c r="R56" s="17">
        <v>0.998</v>
      </c>
      <c r="S56" s="17">
        <v>0.82</v>
      </c>
      <c r="T56" s="17">
        <v>20081231</v>
      </c>
      <c r="U56" s="17">
        <v>20190731</v>
      </c>
      <c r="V56" s="17">
        <v>128</v>
      </c>
    </row>
    <row r="57" spans="1:22">
      <c r="A57" s="17" t="s">
        <v>1912</v>
      </c>
      <c r="B57" s="17">
        <v>3.7900000000000003E-2</v>
      </c>
      <c r="C57" s="17">
        <v>5.2600000000000001E-2</v>
      </c>
      <c r="D57" s="17">
        <v>2.69E-2</v>
      </c>
      <c r="E57" s="17">
        <v>2.7900000000000001E-2</v>
      </c>
      <c r="F57" s="17">
        <v>6.1899999999999997E-2</v>
      </c>
      <c r="G57" s="17">
        <v>-8.6999999999999994E-3</v>
      </c>
      <c r="H57" s="17">
        <v>4.2900000000000001E-2</v>
      </c>
      <c r="I57" s="17">
        <v>2.7400000000000001E-2</v>
      </c>
      <c r="J57" s="17">
        <v>5.4199999999999998E-2</v>
      </c>
      <c r="K57" s="17">
        <v>3.39E-2</v>
      </c>
      <c r="L57" s="17">
        <v>1.47E-2</v>
      </c>
      <c r="M57" s="17">
        <v>3.4000000000000002E-2</v>
      </c>
      <c r="N57" s="17">
        <v>1.59</v>
      </c>
      <c r="O57" s="17">
        <v>2.3E-3</v>
      </c>
      <c r="P57" s="17">
        <v>1.04</v>
      </c>
      <c r="Q57" s="17">
        <v>1.1299999999999999</v>
      </c>
      <c r="R57" s="17">
        <v>0.97699999999999998</v>
      </c>
      <c r="S57" s="17">
        <v>0.89</v>
      </c>
      <c r="T57" s="17">
        <v>20081231</v>
      </c>
      <c r="U57" s="17">
        <v>20190731</v>
      </c>
      <c r="V57" s="17">
        <v>128</v>
      </c>
    </row>
    <row r="58" spans="1:22">
      <c r="A58" s="17" t="s">
        <v>1913</v>
      </c>
      <c r="B58" s="17">
        <v>4.2099999999999999E-2</v>
      </c>
      <c r="C58" s="17">
        <v>2.5999999999999999E-3</v>
      </c>
      <c r="D58" s="17">
        <v>1.11E-2</v>
      </c>
      <c r="E58" s="17">
        <v>8.8999999999999999E-3</v>
      </c>
      <c r="F58" s="17">
        <v>-1.6E-2</v>
      </c>
      <c r="G58" s="17">
        <v>7.5899999999999995E-2</v>
      </c>
      <c r="H58" s="17">
        <v>2.3800000000000002E-2</v>
      </c>
      <c r="I58" s="17">
        <v>2.3300000000000001E-2</v>
      </c>
      <c r="J58" s="17">
        <v>-4.24E-2</v>
      </c>
      <c r="K58" s="17">
        <v>-3.3999999999999998E-3</v>
      </c>
      <c r="L58" s="17">
        <v>4.7000000000000002E-3</v>
      </c>
      <c r="M58" s="17">
        <v>1.2E-2</v>
      </c>
      <c r="N58" s="17">
        <v>0.46</v>
      </c>
      <c r="O58" s="34">
        <v>-2.9999999999999997E-4</v>
      </c>
      <c r="P58" s="17">
        <v>-0.15</v>
      </c>
      <c r="Q58" s="17">
        <v>-0.27</v>
      </c>
      <c r="R58" s="17">
        <v>0.95699999999999996</v>
      </c>
      <c r="S58" s="17">
        <v>0.99</v>
      </c>
      <c r="T58" s="17">
        <v>20081231</v>
      </c>
      <c r="U58" s="17">
        <v>20190731</v>
      </c>
      <c r="V58" s="17">
        <v>128</v>
      </c>
    </row>
    <row r="59" spans="1:22">
      <c r="A59" s="17" t="s">
        <v>1914</v>
      </c>
      <c r="B59" s="17">
        <v>2.0400000000000001E-2</v>
      </c>
      <c r="C59" s="17">
        <v>2.8199999999999999E-2</v>
      </c>
      <c r="D59" s="34">
        <v>-5.0000000000000001E-4</v>
      </c>
      <c r="E59" s="17">
        <v>4.0000000000000001E-3</v>
      </c>
      <c r="F59" s="17">
        <v>4.1599999999999998E-2</v>
      </c>
      <c r="G59" s="17">
        <v>-1.54E-2</v>
      </c>
      <c r="H59" s="17">
        <v>3.4700000000000002E-2</v>
      </c>
      <c r="I59" s="34">
        <v>1E-4</v>
      </c>
      <c r="J59" s="17">
        <v>-5.4999999999999997E-3</v>
      </c>
      <c r="K59" s="17">
        <v>1.1999999999999999E-3</v>
      </c>
      <c r="L59" s="17">
        <v>-7.4999999999999997E-3</v>
      </c>
      <c r="M59" s="17">
        <v>0.01</v>
      </c>
      <c r="N59" s="17">
        <v>0.52</v>
      </c>
      <c r="O59" s="34">
        <v>8.0000000000000004E-4</v>
      </c>
      <c r="P59" s="17">
        <v>0.57999999999999996</v>
      </c>
      <c r="Q59" s="17">
        <v>0.31</v>
      </c>
      <c r="R59" s="17">
        <v>0.999</v>
      </c>
      <c r="S59" s="17">
        <v>0.87</v>
      </c>
      <c r="T59" s="17">
        <v>20081231</v>
      </c>
      <c r="U59" s="17">
        <v>20190731</v>
      </c>
      <c r="V59" s="17">
        <v>128</v>
      </c>
    </row>
    <row r="60" spans="1:22">
      <c r="A60" s="17" t="s">
        <v>1915</v>
      </c>
      <c r="B60" s="17">
        <v>8.6E-3</v>
      </c>
      <c r="C60" s="17">
        <v>3.3700000000000001E-2</v>
      </c>
      <c r="D60" s="17">
        <v>1.5599999999999999E-2</v>
      </c>
      <c r="E60" s="17">
        <v>2.3800000000000002E-2</v>
      </c>
      <c r="F60" s="17">
        <v>2.06E-2</v>
      </c>
      <c r="G60" s="17">
        <v>1.2E-2</v>
      </c>
      <c r="H60" s="17">
        <v>2.12E-2</v>
      </c>
      <c r="I60" s="17">
        <v>1.6500000000000001E-2</v>
      </c>
      <c r="J60" s="17">
        <v>3.2199999999999999E-2</v>
      </c>
      <c r="K60" s="17">
        <v>5.8999999999999999E-3</v>
      </c>
      <c r="L60" s="17">
        <v>2.7799999999999998E-2</v>
      </c>
      <c r="M60" s="17">
        <v>0.02</v>
      </c>
      <c r="N60" s="17">
        <v>2.0699999999999998</v>
      </c>
      <c r="O60" s="17">
        <v>1.9E-3</v>
      </c>
      <c r="P60" s="17">
        <v>1.93</v>
      </c>
      <c r="Q60" s="17">
        <v>0.82</v>
      </c>
      <c r="R60" s="17">
        <v>0.93799999999999994</v>
      </c>
      <c r="S60" s="17">
        <v>0.89</v>
      </c>
      <c r="T60" s="17">
        <v>20081231</v>
      </c>
      <c r="U60" s="17">
        <v>20190731</v>
      </c>
      <c r="V60" s="17">
        <v>128</v>
      </c>
    </row>
    <row r="61" spans="1:22">
      <c r="A61" s="17" t="s">
        <v>1916</v>
      </c>
      <c r="B61" s="17">
        <v>1.1599999999999999E-2</v>
      </c>
      <c r="C61" s="17">
        <v>5.4999999999999997E-3</v>
      </c>
      <c r="D61" s="17">
        <v>4.1000000000000003E-3</v>
      </c>
      <c r="E61" s="17">
        <v>0.02</v>
      </c>
      <c r="F61" s="17">
        <v>0.02</v>
      </c>
      <c r="G61" s="17">
        <v>-1.1999999999999999E-3</v>
      </c>
      <c r="H61" s="17">
        <v>5.1999999999999998E-3</v>
      </c>
      <c r="I61" s="17">
        <v>1.6000000000000001E-3</v>
      </c>
      <c r="J61" s="17">
        <v>8.8000000000000005E-3</v>
      </c>
      <c r="K61" s="17">
        <v>-1.6500000000000001E-2</v>
      </c>
      <c r="L61" s="17">
        <v>1.5E-3</v>
      </c>
      <c r="M61" s="17">
        <v>6.0000000000000001E-3</v>
      </c>
      <c r="N61" s="17">
        <v>0.43</v>
      </c>
      <c r="O61" s="34">
        <v>4.0000000000000002E-4</v>
      </c>
      <c r="P61" s="17">
        <v>0.26</v>
      </c>
      <c r="Q61" s="17">
        <v>0.1</v>
      </c>
      <c r="R61" s="17">
        <v>0.997</v>
      </c>
      <c r="S61" s="17">
        <v>0.98</v>
      </c>
      <c r="T61" s="17">
        <v>20081231</v>
      </c>
      <c r="U61" s="17">
        <v>20190731</v>
      </c>
      <c r="V61" s="17">
        <v>128</v>
      </c>
    </row>
    <row r="62" spans="1:22">
      <c r="A62" s="17" t="s">
        <v>1946</v>
      </c>
      <c r="B62" s="17">
        <v>1.6999999999999999E-3</v>
      </c>
      <c r="C62" s="17">
        <v>3.2000000000000002E-3</v>
      </c>
      <c r="D62" s="17">
        <v>1.4E-3</v>
      </c>
      <c r="E62" s="17">
        <v>4.0000000000000001E-3</v>
      </c>
      <c r="F62" s="17">
        <v>9.5999999999999992E-3</v>
      </c>
      <c r="G62" s="17">
        <v>9.9000000000000008E-3</v>
      </c>
      <c r="H62" s="17">
        <v>-4.1000000000000003E-3</v>
      </c>
      <c r="I62" s="17">
        <v>2.0799999999999999E-2</v>
      </c>
      <c r="J62" s="17">
        <v>2.64E-2</v>
      </c>
      <c r="K62" s="17">
        <v>9.2999999999999992E-3</v>
      </c>
      <c r="L62" s="17">
        <v>1.67E-2</v>
      </c>
      <c r="M62" s="17">
        <v>8.9999999999999993E-3</v>
      </c>
      <c r="N62" s="17">
        <v>0.67</v>
      </c>
      <c r="O62" s="34">
        <v>6.9999999999999999E-4</v>
      </c>
      <c r="P62" s="17">
        <v>0.54</v>
      </c>
      <c r="Q62" s="17">
        <v>0.38</v>
      </c>
      <c r="R62" s="17">
        <v>0.999</v>
      </c>
      <c r="S62" s="17">
        <v>0.98</v>
      </c>
      <c r="T62" s="17">
        <v>20081231</v>
      </c>
      <c r="U62" s="17">
        <v>20190731</v>
      </c>
      <c r="V62" s="17">
        <v>128</v>
      </c>
    </row>
    <row r="63" spans="1:22">
      <c r="A63" s="17" t="s">
        <v>1947</v>
      </c>
      <c r="B63" s="17">
        <v>-1.2200000000000001E-2</v>
      </c>
      <c r="C63" s="17">
        <v>1.8E-3</v>
      </c>
      <c r="D63" s="17">
        <v>2.8400000000000002E-2</v>
      </c>
      <c r="E63" s="17">
        <v>2.1299999999999999E-2</v>
      </c>
      <c r="F63" s="17">
        <v>2.1000000000000001E-2</v>
      </c>
      <c r="G63" s="17">
        <v>-2.5000000000000001E-3</v>
      </c>
      <c r="H63" s="17">
        <v>1.37E-2</v>
      </c>
      <c r="I63" s="17">
        <v>-4.5999999999999999E-3</v>
      </c>
      <c r="J63" s="17">
        <v>1.01E-2</v>
      </c>
      <c r="K63" s="17">
        <v>2.5000000000000001E-3</v>
      </c>
      <c r="L63" s="17">
        <v>2.3E-2</v>
      </c>
      <c r="M63" s="17">
        <v>8.9999999999999993E-3</v>
      </c>
      <c r="N63" s="17">
        <v>0.89</v>
      </c>
      <c r="O63" s="34">
        <v>6.9999999999999999E-4</v>
      </c>
      <c r="P63" s="17">
        <v>0.83</v>
      </c>
      <c r="Q63" s="17">
        <v>0.35</v>
      </c>
      <c r="R63" s="17">
        <v>0.998</v>
      </c>
      <c r="S63" s="17">
        <v>0.72</v>
      </c>
      <c r="T63" s="17">
        <v>20081231</v>
      </c>
      <c r="U63" s="17">
        <v>20190731</v>
      </c>
      <c r="V63" s="17">
        <v>128</v>
      </c>
    </row>
    <row r="64" spans="1:22">
      <c r="A64" s="17" t="s">
        <v>1917</v>
      </c>
      <c r="B64" s="17">
        <v>-2.4299999999999999E-2</v>
      </c>
      <c r="C64" s="17">
        <v>6.0000000000000001E-3</v>
      </c>
      <c r="D64" s="17">
        <v>-1.29E-2</v>
      </c>
      <c r="E64" s="17">
        <v>-4.1000000000000003E-3</v>
      </c>
      <c r="F64" s="17">
        <v>2.8299999999999999E-2</v>
      </c>
      <c r="G64" s="17">
        <v>-7.2900000000000006E-2</v>
      </c>
      <c r="H64" s="17">
        <v>-9.7999999999999997E-3</v>
      </c>
      <c r="I64" s="17">
        <v>-6.7799999999999999E-2</v>
      </c>
      <c r="J64" s="17">
        <v>-3.1600000000000003E-2</v>
      </c>
      <c r="K64" s="17">
        <v>-3.3999999999999998E-3</v>
      </c>
      <c r="L64" s="17">
        <v>-1.1900000000000001E-2</v>
      </c>
      <c r="M64" s="17">
        <v>-1.9E-2</v>
      </c>
      <c r="N64" s="17">
        <v>-0.75</v>
      </c>
      <c r="O64" s="17">
        <v>-1E-3</v>
      </c>
      <c r="P64" s="17">
        <v>-0.35</v>
      </c>
      <c r="Q64" s="17">
        <v>-0.3</v>
      </c>
      <c r="R64" s="17">
        <v>0.999</v>
      </c>
      <c r="S64" s="17">
        <v>0.97</v>
      </c>
      <c r="T64" s="17">
        <v>20081231</v>
      </c>
      <c r="U64" s="17">
        <v>20190731</v>
      </c>
      <c r="V64" s="17">
        <v>128</v>
      </c>
    </row>
  </sheetData>
  <sortState ref="A2:V45">
    <sortCondition ref="A5"/>
  </sortState>
  <phoneticPr fontId="5" type="noConversion"/>
  <conditionalFormatting sqref="B2:L2"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:L3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:L4"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:L5"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6:L6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7:L7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8:L8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9:L9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0:L10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1:L11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2:L12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3:L13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4:L14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5:L15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6:L16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7:L17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8:L18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19:L19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0:L20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1:L21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2:L22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3:L23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4:L24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5:L25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6:L26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7:L27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8:L28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29:L29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0:L30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1:L31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2:L3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3:L33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4:L3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5:L35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6:L3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7:L37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8:L38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9:L39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0:L40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1:L41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2:L42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3:L43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4:L44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5:L45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6:L46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7:L47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8:L48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9:L49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50:L5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:M4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2:N4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R2:R4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2:S4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"/>
  <sheetViews>
    <sheetView topLeftCell="A28" workbookViewId="0">
      <selection activeCell="L30" sqref="L30"/>
    </sheetView>
  </sheetViews>
  <sheetFormatPr defaultRowHeight="14.25"/>
  <cols>
    <col min="2" max="13" width="9" style="35"/>
  </cols>
  <sheetData>
    <row r="1" spans="1:22">
      <c r="A1" s="17" t="s">
        <v>730</v>
      </c>
      <c r="B1" s="17" t="s">
        <v>999</v>
      </c>
      <c r="C1" s="17" t="s">
        <v>1000</v>
      </c>
      <c r="D1" s="17" t="s">
        <v>1001</v>
      </c>
      <c r="E1" s="17" t="s">
        <v>1002</v>
      </c>
      <c r="F1" s="17" t="s">
        <v>1003</v>
      </c>
      <c r="G1" s="17" t="s">
        <v>1004</v>
      </c>
      <c r="H1" s="17" t="s">
        <v>1005</v>
      </c>
      <c r="I1" s="17" t="s">
        <v>1006</v>
      </c>
      <c r="J1" s="17" t="s">
        <v>1007</v>
      </c>
      <c r="K1" s="17" t="s">
        <v>1008</v>
      </c>
      <c r="L1" s="17" t="s">
        <v>1009</v>
      </c>
      <c r="M1" s="17" t="s">
        <v>969</v>
      </c>
      <c r="N1" s="17" t="s">
        <v>970</v>
      </c>
      <c r="O1" s="17" t="s">
        <v>971</v>
      </c>
      <c r="P1" s="17" t="s">
        <v>972</v>
      </c>
      <c r="Q1" s="17" t="s">
        <v>973</v>
      </c>
      <c r="R1" s="17" t="s">
        <v>974</v>
      </c>
      <c r="S1" s="17" t="s">
        <v>975</v>
      </c>
      <c r="T1" s="17" t="s">
        <v>1010</v>
      </c>
      <c r="U1" s="17" t="s">
        <v>1011</v>
      </c>
      <c r="V1" s="17" t="s">
        <v>1012</v>
      </c>
    </row>
    <row r="2" spans="1:22">
      <c r="A2" s="17" t="s">
        <v>1873</v>
      </c>
      <c r="B2" s="17">
        <v>2.1600000000000001E-2</v>
      </c>
      <c r="C2" s="17">
        <v>4.1999999999999997E-3</v>
      </c>
      <c r="D2" s="17">
        <v>1E-3</v>
      </c>
      <c r="E2" s="17">
        <v>4.0000000000000001E-3</v>
      </c>
      <c r="F2" s="17">
        <v>2.2700000000000001E-2</v>
      </c>
      <c r="G2" s="17">
        <v>2.98E-2</v>
      </c>
      <c r="H2" s="17">
        <v>-7.1000000000000004E-3</v>
      </c>
      <c r="I2" s="17">
        <v>2.3099999999999999E-2</v>
      </c>
      <c r="J2" s="17">
        <v>-8.0999999999999996E-3</v>
      </c>
      <c r="K2" s="17">
        <v>2.4400000000000002E-2</v>
      </c>
      <c r="L2" s="17">
        <v>2.3E-3</v>
      </c>
      <c r="M2" s="17">
        <v>1.0999999999999999E-2</v>
      </c>
      <c r="N2" s="17">
        <v>0.76</v>
      </c>
      <c r="O2" s="17">
        <v>1.1000000000000001E-3</v>
      </c>
      <c r="P2" s="17">
        <v>0.73</v>
      </c>
      <c r="Q2" s="17">
        <v>0.36</v>
      </c>
      <c r="R2" s="17">
        <v>0.872</v>
      </c>
      <c r="S2" s="17">
        <v>0.91</v>
      </c>
      <c r="T2" s="17">
        <v>20081231</v>
      </c>
      <c r="U2" s="17">
        <v>20190731</v>
      </c>
      <c r="V2" s="17">
        <v>128</v>
      </c>
    </row>
    <row r="3" spans="1:22">
      <c r="A3" s="17" t="s">
        <v>1874</v>
      </c>
      <c r="B3" s="17">
        <v>2.3199999999999998E-2</v>
      </c>
      <c r="C3" s="17">
        <v>-3.2000000000000002E-3</v>
      </c>
      <c r="D3" s="17">
        <v>1.8E-3</v>
      </c>
      <c r="E3" s="17">
        <v>9.1000000000000004E-3</v>
      </c>
      <c r="F3" s="17">
        <v>2.9100000000000001E-2</v>
      </c>
      <c r="G3" s="17">
        <v>2.4199999999999999E-2</v>
      </c>
      <c r="H3" s="17">
        <v>1.6999999999999999E-3</v>
      </c>
      <c r="I3" s="17">
        <v>1.0999999999999999E-2</v>
      </c>
      <c r="J3" s="17">
        <v>-1.01E-2</v>
      </c>
      <c r="K3" s="17">
        <v>1.77E-2</v>
      </c>
      <c r="L3" s="17">
        <v>1.17E-2</v>
      </c>
      <c r="M3" s="17">
        <v>1.0999999999999999E-2</v>
      </c>
      <c r="N3" s="17">
        <v>0.76</v>
      </c>
      <c r="O3" s="17">
        <v>1.1999999999999999E-3</v>
      </c>
      <c r="P3" s="17">
        <v>0.83</v>
      </c>
      <c r="Q3" s="17">
        <v>0.4</v>
      </c>
      <c r="R3" s="17">
        <v>0.97399999999999998</v>
      </c>
      <c r="S3" s="17">
        <v>0.93</v>
      </c>
      <c r="T3" s="17">
        <v>20081231</v>
      </c>
      <c r="U3" s="17">
        <v>20190731</v>
      </c>
      <c r="V3" s="17">
        <v>128</v>
      </c>
    </row>
    <row r="4" spans="1:22">
      <c r="A4" s="17" t="s">
        <v>1875</v>
      </c>
      <c r="B4" s="17">
        <v>1.15E-2</v>
      </c>
      <c r="C4" s="17">
        <v>3.3999999999999998E-3</v>
      </c>
      <c r="D4" s="17">
        <v>-3.0000000000000001E-3</v>
      </c>
      <c r="E4" s="34">
        <v>-5.0000000000000001E-4</v>
      </c>
      <c r="F4" s="17">
        <v>1.5100000000000001E-2</v>
      </c>
      <c r="G4" s="17">
        <v>3.4000000000000002E-2</v>
      </c>
      <c r="H4" s="17">
        <v>-1.4999999999999999E-2</v>
      </c>
      <c r="I4" s="17">
        <v>2.1000000000000001E-2</v>
      </c>
      <c r="J4" s="17">
        <v>-4.1999999999999997E-3</v>
      </c>
      <c r="K4" s="17">
        <v>2.8199999999999999E-2</v>
      </c>
      <c r="L4" s="17">
        <v>1.78E-2</v>
      </c>
      <c r="M4" s="17">
        <v>0.01</v>
      </c>
      <c r="N4" s="17">
        <v>0.61</v>
      </c>
      <c r="O4" s="34">
        <v>8.9999999999999998E-4</v>
      </c>
      <c r="P4" s="17">
        <v>0.56000000000000005</v>
      </c>
      <c r="Q4" s="17">
        <v>0.31</v>
      </c>
      <c r="R4" s="17">
        <v>0.89</v>
      </c>
      <c r="S4" s="17">
        <v>0.94</v>
      </c>
      <c r="T4" s="17">
        <v>20081231</v>
      </c>
      <c r="U4" s="17">
        <v>20190731</v>
      </c>
      <c r="V4" s="17">
        <v>128</v>
      </c>
    </row>
    <row r="5" spans="1:22">
      <c r="A5" s="17" t="s">
        <v>1876</v>
      </c>
      <c r="B5" s="17">
        <v>1.95E-2</v>
      </c>
      <c r="C5" s="17">
        <v>-4.3E-3</v>
      </c>
      <c r="D5" s="17">
        <v>-2.3E-3</v>
      </c>
      <c r="E5" s="17">
        <v>-4.4999999999999997E-3</v>
      </c>
      <c r="F5" s="17">
        <v>5.8999999999999999E-3</v>
      </c>
      <c r="G5" s="17">
        <v>3.15E-2</v>
      </c>
      <c r="H5" s="17">
        <v>-8.5000000000000006E-3</v>
      </c>
      <c r="I5" s="17">
        <v>2.1600000000000001E-2</v>
      </c>
      <c r="J5" s="17">
        <v>3.3999999999999998E-3</v>
      </c>
      <c r="K5" s="17">
        <v>2.6100000000000002E-2</v>
      </c>
      <c r="L5" s="17">
        <v>2.3699999999999999E-2</v>
      </c>
      <c r="M5" s="17">
        <v>0.01</v>
      </c>
      <c r="N5" s="17">
        <v>0.65</v>
      </c>
      <c r="O5" s="17">
        <v>1E-3</v>
      </c>
      <c r="P5" s="17">
        <v>0.64</v>
      </c>
      <c r="Q5" s="17">
        <v>0.34</v>
      </c>
      <c r="R5" s="17">
        <v>0.998</v>
      </c>
      <c r="S5" s="17">
        <v>0.93</v>
      </c>
      <c r="T5" s="17">
        <v>20081231</v>
      </c>
      <c r="U5" s="17">
        <v>20190731</v>
      </c>
      <c r="V5" s="17">
        <v>128</v>
      </c>
    </row>
    <row r="6" spans="1:22">
      <c r="A6" s="17" t="s">
        <v>1877</v>
      </c>
      <c r="B6" s="17">
        <v>3.2099999999999997E-2</v>
      </c>
      <c r="C6" s="17">
        <v>2.9700000000000001E-2</v>
      </c>
      <c r="D6" s="17">
        <v>2.6700000000000002E-2</v>
      </c>
      <c r="E6" s="17">
        <v>2.47E-2</v>
      </c>
      <c r="F6" s="17">
        <v>4.2599999999999999E-2</v>
      </c>
      <c r="G6" s="17">
        <v>4.4200000000000003E-2</v>
      </c>
      <c r="H6" s="17">
        <v>4.5100000000000001E-2</v>
      </c>
      <c r="I6" s="17">
        <v>2.9600000000000001E-2</v>
      </c>
      <c r="J6" s="17">
        <v>-7.1000000000000004E-3</v>
      </c>
      <c r="K6" s="17">
        <v>1.0999999999999999E-2</v>
      </c>
      <c r="L6" s="17">
        <v>-1.7999999999999999E-2</v>
      </c>
      <c r="M6" s="17">
        <v>2.5000000000000001E-2</v>
      </c>
      <c r="N6" s="17">
        <v>1.26</v>
      </c>
      <c r="O6" s="17">
        <v>1.1999999999999999E-3</v>
      </c>
      <c r="P6" s="17">
        <v>0.66</v>
      </c>
      <c r="Q6" s="17">
        <v>0.32</v>
      </c>
      <c r="R6" s="17">
        <v>0.84799999999999998</v>
      </c>
      <c r="S6" s="17">
        <v>0.95</v>
      </c>
      <c r="T6" s="17">
        <v>20081231</v>
      </c>
      <c r="U6" s="17">
        <v>20190731</v>
      </c>
      <c r="V6" s="17">
        <v>128</v>
      </c>
    </row>
    <row r="7" spans="1:22">
      <c r="A7" s="17" t="s">
        <v>1942</v>
      </c>
      <c r="B7" s="17">
        <v>2.4799999999999999E-2</v>
      </c>
      <c r="C7" s="17">
        <v>1.09E-2</v>
      </c>
      <c r="D7" s="17">
        <v>1.66E-2</v>
      </c>
      <c r="E7" s="17">
        <v>1.8800000000000001E-2</v>
      </c>
      <c r="F7" s="17">
        <v>1.7000000000000001E-2</v>
      </c>
      <c r="G7" s="34">
        <v>-2.9999999999999997E-4</v>
      </c>
      <c r="H7" s="17">
        <v>2.07E-2</v>
      </c>
      <c r="I7" s="17">
        <v>3.3700000000000001E-2</v>
      </c>
      <c r="J7" s="17">
        <v>3.6499999999999998E-2</v>
      </c>
      <c r="K7" s="17">
        <v>5.7700000000000001E-2</v>
      </c>
      <c r="L7" s="17">
        <v>3.4200000000000001E-2</v>
      </c>
      <c r="M7" s="17">
        <v>2.4E-2</v>
      </c>
      <c r="N7" s="17">
        <v>1.77</v>
      </c>
      <c r="O7" s="17">
        <v>1.6999999999999999E-3</v>
      </c>
      <c r="P7" s="17">
        <v>1.08</v>
      </c>
      <c r="Q7" s="17">
        <v>0.52</v>
      </c>
      <c r="R7" s="17">
        <v>0.94699999999999995</v>
      </c>
      <c r="S7" s="17">
        <v>0.95</v>
      </c>
      <c r="T7" s="17">
        <v>20081231</v>
      </c>
      <c r="U7" s="17">
        <v>20190731</v>
      </c>
      <c r="V7" s="17">
        <v>128</v>
      </c>
    </row>
    <row r="8" spans="1:22">
      <c r="A8" s="17" t="s">
        <v>1943</v>
      </c>
      <c r="B8" s="17">
        <v>1.7899999999999999E-2</v>
      </c>
      <c r="C8" s="17">
        <v>-6.4999999999999997E-3</v>
      </c>
      <c r="D8" s="17">
        <v>1.1599999999999999E-2</v>
      </c>
      <c r="E8" s="34">
        <v>-8.9999999999999998E-4</v>
      </c>
      <c r="F8" s="17">
        <v>3.2899999999999999E-2</v>
      </c>
      <c r="G8" s="17">
        <v>4.8999999999999998E-3</v>
      </c>
      <c r="H8" s="17">
        <v>1.11E-2</v>
      </c>
      <c r="I8" s="17">
        <v>4.7999999999999996E-3</v>
      </c>
      <c r="J8" s="17">
        <v>1.0500000000000001E-2</v>
      </c>
      <c r="K8" s="34">
        <v>2.9999999999999997E-4</v>
      </c>
      <c r="L8" s="17">
        <v>5.1999999999999998E-3</v>
      </c>
      <c r="M8" s="17">
        <v>8.0000000000000002E-3</v>
      </c>
      <c r="N8" s="17">
        <v>0.79</v>
      </c>
      <c r="O8" s="34">
        <v>8.0000000000000004E-4</v>
      </c>
      <c r="P8" s="17">
        <v>0.68</v>
      </c>
      <c r="Q8" s="17">
        <v>0.24</v>
      </c>
      <c r="R8" s="17">
        <v>0.93200000000000005</v>
      </c>
      <c r="S8" s="17">
        <v>0.87</v>
      </c>
      <c r="T8" s="17">
        <v>20081231</v>
      </c>
      <c r="U8" s="17">
        <v>20190731</v>
      </c>
      <c r="V8" s="17">
        <v>128</v>
      </c>
    </row>
    <row r="9" spans="1:22">
      <c r="A9" s="17" t="s">
        <v>1878</v>
      </c>
      <c r="B9" s="17">
        <v>4.4999999999999997E-3</v>
      </c>
      <c r="C9" s="17">
        <v>4.7999999999999996E-3</v>
      </c>
      <c r="D9" s="17">
        <v>-2E-3</v>
      </c>
      <c r="E9" s="17">
        <v>-3.0000000000000001E-3</v>
      </c>
      <c r="F9" s="17">
        <v>6.3E-3</v>
      </c>
      <c r="G9" s="17">
        <v>-3.73E-2</v>
      </c>
      <c r="H9" s="17">
        <v>1.5800000000000002E-2</v>
      </c>
      <c r="I9" s="17">
        <v>8.0000000000000002E-3</v>
      </c>
      <c r="J9" s="17">
        <v>2.5499999999999998E-2</v>
      </c>
      <c r="K9" s="17">
        <v>1.9300000000000001E-2</v>
      </c>
      <c r="L9" s="17">
        <v>2.76E-2</v>
      </c>
      <c r="M9" s="17">
        <v>6.0000000000000001E-3</v>
      </c>
      <c r="N9" s="17">
        <v>0.37</v>
      </c>
      <c r="O9" s="34">
        <v>6.9999999999999999E-4</v>
      </c>
      <c r="P9" s="17">
        <v>0.54</v>
      </c>
      <c r="Q9" s="17">
        <v>0.27</v>
      </c>
      <c r="R9" s="17">
        <v>0.94799999999999995</v>
      </c>
      <c r="S9" s="17">
        <v>0.98</v>
      </c>
      <c r="T9" s="17">
        <v>20081231</v>
      </c>
      <c r="U9" s="17">
        <v>20190731</v>
      </c>
      <c r="V9" s="17">
        <v>128</v>
      </c>
    </row>
    <row r="10" spans="1:22">
      <c r="A10" s="17" t="s">
        <v>1879</v>
      </c>
      <c r="B10" s="17">
        <v>-3.8E-3</v>
      </c>
      <c r="C10" s="17">
        <v>-3.2000000000000002E-3</v>
      </c>
      <c r="D10" s="17">
        <v>-9.7000000000000003E-3</v>
      </c>
      <c r="E10" s="17">
        <v>8.5000000000000006E-3</v>
      </c>
      <c r="F10" s="17">
        <v>2.5999999999999999E-3</v>
      </c>
      <c r="G10" s="17">
        <v>-3.6600000000000001E-2</v>
      </c>
      <c r="H10" s="17">
        <v>5.3E-3</v>
      </c>
      <c r="I10" s="17">
        <v>-1.0200000000000001E-2</v>
      </c>
      <c r="J10" s="17">
        <v>1.8200000000000001E-2</v>
      </c>
      <c r="K10" s="17">
        <v>-3.9300000000000002E-2</v>
      </c>
      <c r="L10" s="17">
        <v>6.7999999999999996E-3</v>
      </c>
      <c r="M10" s="17">
        <v>-6.0000000000000001E-3</v>
      </c>
      <c r="N10" s="17">
        <v>-0.43</v>
      </c>
      <c r="O10" s="34">
        <v>-1E-4</v>
      </c>
      <c r="P10" s="17">
        <v>-0.08</v>
      </c>
      <c r="Q10" s="17">
        <v>-0.05</v>
      </c>
      <c r="R10" s="17">
        <v>0.997</v>
      </c>
      <c r="S10" s="17">
        <v>0.97</v>
      </c>
      <c r="T10" s="17">
        <v>20081231</v>
      </c>
      <c r="U10" s="17">
        <v>20190731</v>
      </c>
      <c r="V10" s="17">
        <v>128</v>
      </c>
    </row>
    <row r="11" spans="1:22">
      <c r="A11" s="17" t="s">
        <v>1931</v>
      </c>
      <c r="B11" s="17">
        <v>5.1000000000000004E-3</v>
      </c>
      <c r="C11" s="17">
        <v>-6.4000000000000003E-3</v>
      </c>
      <c r="D11" s="17">
        <v>2.2100000000000002E-2</v>
      </c>
      <c r="E11" s="17">
        <v>2.1700000000000001E-2</v>
      </c>
      <c r="F11" s="17">
        <v>-1.5599999999999999E-2</v>
      </c>
      <c r="G11" s="17">
        <v>-2.1399999999999999E-2</v>
      </c>
      <c r="H11" s="17">
        <v>4.0000000000000001E-3</v>
      </c>
      <c r="I11" s="17">
        <v>-7.0000000000000001E-3</v>
      </c>
      <c r="J11" s="17">
        <v>4.3E-3</v>
      </c>
      <c r="K11" s="17">
        <v>2.7300000000000001E-2</v>
      </c>
      <c r="L11" s="17">
        <v>1.4500000000000001E-2</v>
      </c>
      <c r="M11" s="17">
        <v>4.0000000000000001E-3</v>
      </c>
      <c r="N11" s="17">
        <v>0.23</v>
      </c>
      <c r="O11" s="34">
        <v>5.0000000000000001E-4</v>
      </c>
      <c r="P11" s="17">
        <v>0.35</v>
      </c>
      <c r="Q11" s="17">
        <v>0.14000000000000001</v>
      </c>
      <c r="R11" s="17">
        <v>0.94899999999999995</v>
      </c>
      <c r="S11" s="17">
        <v>0.97</v>
      </c>
      <c r="T11" s="17">
        <v>20081231</v>
      </c>
      <c r="U11" s="17">
        <v>20190731</v>
      </c>
      <c r="V11" s="17">
        <v>128</v>
      </c>
    </row>
    <row r="12" spans="1:22">
      <c r="A12" s="17" t="s">
        <v>1932</v>
      </c>
      <c r="B12" s="17">
        <v>-1.2500000000000001E-2</v>
      </c>
      <c r="C12" s="17">
        <v>1.43E-2</v>
      </c>
      <c r="D12" s="17">
        <v>1.77E-2</v>
      </c>
      <c r="E12" s="17">
        <v>2.5899999999999999E-2</v>
      </c>
      <c r="F12" s="17">
        <v>-1.9099999999999999E-2</v>
      </c>
      <c r="G12" s="17">
        <v>8.6999999999999994E-3</v>
      </c>
      <c r="H12" s="17">
        <v>-1.38E-2</v>
      </c>
      <c r="I12" s="17">
        <v>2.1899999999999999E-2</v>
      </c>
      <c r="J12" s="17">
        <v>1.9400000000000001E-2</v>
      </c>
      <c r="K12" s="17">
        <v>1.1000000000000001E-3</v>
      </c>
      <c r="L12" s="17">
        <v>-5.8500000000000003E-2</v>
      </c>
      <c r="M12" s="17">
        <v>2E-3</v>
      </c>
      <c r="N12" s="17">
        <v>0.14000000000000001</v>
      </c>
      <c r="O12" s="17">
        <v>1E-3</v>
      </c>
      <c r="P12" s="17">
        <v>0.7</v>
      </c>
      <c r="Q12" s="17">
        <v>0.24</v>
      </c>
      <c r="R12" s="17">
        <v>0.94699999999999995</v>
      </c>
      <c r="S12" s="17">
        <v>0.87</v>
      </c>
      <c r="T12" s="17">
        <v>20081231</v>
      </c>
      <c r="U12" s="17">
        <v>20190731</v>
      </c>
      <c r="V12" s="17">
        <v>128</v>
      </c>
    </row>
    <row r="13" spans="1:22">
      <c r="A13" s="17" t="s">
        <v>1933</v>
      </c>
      <c r="B13" s="17">
        <v>3.8E-3</v>
      </c>
      <c r="C13" s="17">
        <v>-4.1000000000000003E-3</v>
      </c>
      <c r="D13" s="17">
        <v>1.66E-2</v>
      </c>
      <c r="E13" s="17">
        <v>2.6499999999999999E-2</v>
      </c>
      <c r="F13" s="17">
        <v>-1.5800000000000002E-2</v>
      </c>
      <c r="G13" s="17">
        <v>-2.3699999999999999E-2</v>
      </c>
      <c r="H13" s="17">
        <v>-7.6E-3</v>
      </c>
      <c r="I13" s="17">
        <v>-1.8E-3</v>
      </c>
      <c r="J13" s="17">
        <v>2.23E-2</v>
      </c>
      <c r="K13" s="17">
        <v>2.69E-2</v>
      </c>
      <c r="L13" s="17">
        <v>-1.9E-3</v>
      </c>
      <c r="M13" s="17">
        <v>4.0000000000000001E-3</v>
      </c>
      <c r="N13" s="17">
        <v>0.22</v>
      </c>
      <c r="O13" s="34">
        <v>4.0000000000000002E-4</v>
      </c>
      <c r="P13" s="17">
        <v>0.26</v>
      </c>
      <c r="Q13" s="17">
        <v>0.13</v>
      </c>
      <c r="R13" s="17">
        <v>0.94899999999999995</v>
      </c>
      <c r="S13" s="17">
        <v>0.97</v>
      </c>
      <c r="T13" s="17">
        <v>20081231</v>
      </c>
      <c r="U13" s="17">
        <v>20190731</v>
      </c>
      <c r="V13" s="17">
        <v>128</v>
      </c>
    </row>
    <row r="14" spans="1:22">
      <c r="A14" s="17" t="s">
        <v>1934</v>
      </c>
      <c r="B14" s="17">
        <v>2E-3</v>
      </c>
      <c r="C14" s="17">
        <v>1.7899999999999999E-2</v>
      </c>
      <c r="D14" s="17">
        <v>7.7000000000000002E-3</v>
      </c>
      <c r="E14" s="17">
        <v>2.7699999999999999E-2</v>
      </c>
      <c r="F14" s="34">
        <v>1E-4</v>
      </c>
      <c r="G14" s="17">
        <v>8.2000000000000007E-3</v>
      </c>
      <c r="H14" s="17">
        <v>-1.7299999999999999E-2</v>
      </c>
      <c r="I14" s="17">
        <v>2.7199999999999998E-2</v>
      </c>
      <c r="J14" s="17">
        <v>0.01</v>
      </c>
      <c r="K14" s="34">
        <v>2.9999999999999997E-4</v>
      </c>
      <c r="L14" s="17">
        <v>-3.2099999999999997E-2</v>
      </c>
      <c r="M14" s="17">
        <v>6.0000000000000001E-3</v>
      </c>
      <c r="N14" s="17">
        <v>0.43</v>
      </c>
      <c r="O14" s="17">
        <v>1.1999999999999999E-3</v>
      </c>
      <c r="P14" s="17">
        <v>0.95</v>
      </c>
      <c r="Q14" s="17">
        <v>0.32</v>
      </c>
      <c r="R14" s="17">
        <v>0.94699999999999995</v>
      </c>
      <c r="S14" s="17">
        <v>0.87</v>
      </c>
      <c r="T14" s="17">
        <v>20081231</v>
      </c>
      <c r="U14" s="17">
        <v>20190731</v>
      </c>
      <c r="V14" s="17">
        <v>128</v>
      </c>
    </row>
    <row r="15" spans="1:22">
      <c r="A15" s="17" t="s">
        <v>1880</v>
      </c>
      <c r="B15" s="17">
        <v>2.8799999999999999E-2</v>
      </c>
      <c r="C15" s="17">
        <v>-9.5999999999999992E-3</v>
      </c>
      <c r="D15" s="17">
        <v>1.29E-2</v>
      </c>
      <c r="E15" s="17">
        <v>-2.5000000000000001E-3</v>
      </c>
      <c r="F15" s="17">
        <v>1.26E-2</v>
      </c>
      <c r="G15" s="17">
        <v>2.1399999999999999E-2</v>
      </c>
      <c r="H15" s="17">
        <v>3.8E-3</v>
      </c>
      <c r="I15" s="17">
        <v>1.4200000000000001E-2</v>
      </c>
      <c r="J15" s="17">
        <v>3.1800000000000002E-2</v>
      </c>
      <c r="K15" s="17">
        <v>2.3099999999999999E-2</v>
      </c>
      <c r="L15" s="17">
        <v>2.1499999999999998E-2</v>
      </c>
      <c r="M15" s="17">
        <v>1.4E-2</v>
      </c>
      <c r="N15" s="17">
        <v>1.1599999999999999</v>
      </c>
      <c r="O15" s="34">
        <v>8.9999999999999998E-4</v>
      </c>
      <c r="P15" s="17">
        <v>0.81</v>
      </c>
      <c r="Q15" s="17">
        <v>0.32</v>
      </c>
      <c r="R15" s="17">
        <v>0.82199999999999995</v>
      </c>
      <c r="S15" s="17">
        <v>0.92</v>
      </c>
      <c r="T15" s="17">
        <v>20081231</v>
      </c>
      <c r="U15" s="17">
        <v>20190731</v>
      </c>
      <c r="V15" s="17">
        <v>128</v>
      </c>
    </row>
    <row r="16" spans="1:22">
      <c r="A16" s="17" t="s">
        <v>1881</v>
      </c>
      <c r="B16" s="17">
        <v>2.01E-2</v>
      </c>
      <c r="C16" s="17">
        <v>2.0199999999999999E-2</v>
      </c>
      <c r="D16" s="17">
        <v>2.35E-2</v>
      </c>
      <c r="E16" s="17">
        <v>2.1100000000000001E-2</v>
      </c>
      <c r="F16" s="17">
        <v>1.95E-2</v>
      </c>
      <c r="G16" s="17">
        <v>3.3999999999999998E-3</v>
      </c>
      <c r="H16" s="17">
        <v>1.95E-2</v>
      </c>
      <c r="I16" s="17">
        <v>2.52E-2</v>
      </c>
      <c r="J16" s="17">
        <v>5.0500000000000003E-2</v>
      </c>
      <c r="K16" s="17">
        <v>3.4099999999999998E-2</v>
      </c>
      <c r="L16" s="17">
        <v>2.06E-2</v>
      </c>
      <c r="M16" s="17">
        <v>2.4E-2</v>
      </c>
      <c r="N16" s="17">
        <v>1.86</v>
      </c>
      <c r="O16" s="17">
        <v>2.3E-3</v>
      </c>
      <c r="P16" s="17">
        <v>1.82</v>
      </c>
      <c r="Q16" s="17">
        <v>0.72</v>
      </c>
      <c r="R16" s="17">
        <v>0.93</v>
      </c>
      <c r="S16" s="17">
        <v>0.9</v>
      </c>
      <c r="T16" s="17">
        <v>20081231</v>
      </c>
      <c r="U16" s="17">
        <v>20190731</v>
      </c>
      <c r="V16" s="17">
        <v>128</v>
      </c>
    </row>
    <row r="17" spans="1:22">
      <c r="A17" s="17" t="s">
        <v>1882</v>
      </c>
      <c r="B17" s="17">
        <v>9.1999999999999998E-3</v>
      </c>
      <c r="C17" s="17">
        <v>4.2299999999999997E-2</v>
      </c>
      <c r="D17" s="17">
        <v>6.7000000000000002E-3</v>
      </c>
      <c r="E17" s="17">
        <v>3.9800000000000002E-2</v>
      </c>
      <c r="F17" s="17">
        <v>1.5599999999999999E-2</v>
      </c>
      <c r="G17" s="17">
        <v>-3.4700000000000002E-2</v>
      </c>
      <c r="H17" s="17">
        <v>4.8000000000000001E-2</v>
      </c>
      <c r="I17" s="17">
        <v>7.0000000000000001E-3</v>
      </c>
      <c r="J17" s="17">
        <v>0.02</v>
      </c>
      <c r="K17" s="17">
        <v>-4.5400000000000003E-2</v>
      </c>
      <c r="L17" s="17">
        <v>-6.7000000000000002E-3</v>
      </c>
      <c r="M17" s="17">
        <v>0.01</v>
      </c>
      <c r="N17" s="17">
        <v>0.38</v>
      </c>
      <c r="O17" s="34">
        <v>8.0000000000000004E-4</v>
      </c>
      <c r="P17" s="17">
        <v>0.33</v>
      </c>
      <c r="Q17" s="17">
        <v>0.22</v>
      </c>
      <c r="R17" s="17">
        <v>0.88900000000000001</v>
      </c>
      <c r="S17" s="17">
        <v>0.98</v>
      </c>
      <c r="T17" s="17">
        <v>20081231</v>
      </c>
      <c r="U17" s="17">
        <v>20190731</v>
      </c>
      <c r="V17" s="17">
        <v>128</v>
      </c>
    </row>
    <row r="18" spans="1:22">
      <c r="A18" s="17" t="s">
        <v>1883</v>
      </c>
      <c r="B18" s="17">
        <v>4.0899999999999999E-2</v>
      </c>
      <c r="C18" s="17">
        <v>4.1099999999999998E-2</v>
      </c>
      <c r="D18" s="17">
        <v>2.5899999999999999E-2</v>
      </c>
      <c r="E18" s="17">
        <v>2.52E-2</v>
      </c>
      <c r="F18" s="17">
        <v>2.1299999999999999E-2</v>
      </c>
      <c r="G18" s="17">
        <v>-3.1699999999999999E-2</v>
      </c>
      <c r="H18" s="17">
        <v>3.4200000000000001E-2</v>
      </c>
      <c r="I18" s="17">
        <v>8.9999999999999993E-3</v>
      </c>
      <c r="J18" s="17">
        <v>7.1000000000000004E-3</v>
      </c>
      <c r="K18" s="17">
        <v>-4.4600000000000001E-2</v>
      </c>
      <c r="L18" s="17">
        <v>-1.78E-2</v>
      </c>
      <c r="M18" s="17">
        <v>1.0999999999999999E-2</v>
      </c>
      <c r="N18" s="17">
        <v>0.49</v>
      </c>
      <c r="O18" s="34">
        <v>2.9999999999999997E-4</v>
      </c>
      <c r="P18" s="17">
        <v>0.12</v>
      </c>
      <c r="Q18" s="17">
        <v>0.11</v>
      </c>
      <c r="R18" s="17">
        <v>0.82299999999999995</v>
      </c>
      <c r="S18" s="17">
        <v>0.98</v>
      </c>
      <c r="T18" s="17">
        <v>20081231</v>
      </c>
      <c r="U18" s="17">
        <v>20190731</v>
      </c>
      <c r="V18" s="17">
        <v>128</v>
      </c>
    </row>
    <row r="19" spans="1:22">
      <c r="A19" s="17" t="s">
        <v>1884</v>
      </c>
      <c r="B19" s="17">
        <v>1.7100000000000001E-2</v>
      </c>
      <c r="C19" s="17">
        <v>1.2999999999999999E-3</v>
      </c>
      <c r="D19" s="17">
        <v>1.12E-2</v>
      </c>
      <c r="E19" s="17">
        <v>-5.7999999999999996E-3</v>
      </c>
      <c r="F19" s="17">
        <v>-2.8E-3</v>
      </c>
      <c r="G19" s="34">
        <v>5.0000000000000001E-4</v>
      </c>
      <c r="H19" s="17">
        <v>-2.8999999999999998E-3</v>
      </c>
      <c r="I19" s="17">
        <v>-2.1700000000000001E-2</v>
      </c>
      <c r="J19" s="17">
        <v>8.0000000000000002E-3</v>
      </c>
      <c r="K19" s="17">
        <v>-5.7999999999999996E-3</v>
      </c>
      <c r="L19" s="17">
        <v>-2.3999999999999998E-3</v>
      </c>
      <c r="M19" s="17">
        <v>0</v>
      </c>
      <c r="N19" s="17">
        <v>-0.02</v>
      </c>
      <c r="O19" s="17">
        <v>0</v>
      </c>
      <c r="P19" s="17">
        <v>0</v>
      </c>
      <c r="Q19" s="17">
        <v>-0.01</v>
      </c>
      <c r="R19" s="17">
        <v>0.90700000000000003</v>
      </c>
      <c r="S19" s="17">
        <v>0.97</v>
      </c>
      <c r="T19" s="17">
        <v>20081231</v>
      </c>
      <c r="U19" s="17">
        <v>20190731</v>
      </c>
      <c r="V19" s="17">
        <v>128</v>
      </c>
    </row>
    <row r="20" spans="1:22">
      <c r="A20" s="17" t="s">
        <v>2258</v>
      </c>
      <c r="B20" s="17">
        <v>1.6500000000000001E-2</v>
      </c>
      <c r="C20" s="17">
        <v>1.8100000000000002E-2</v>
      </c>
      <c r="D20" s="17">
        <v>-5.1000000000000004E-3</v>
      </c>
      <c r="E20" s="17">
        <v>1.78E-2</v>
      </c>
      <c r="F20" s="17">
        <v>7.4999999999999997E-3</v>
      </c>
      <c r="G20" s="17">
        <v>1.2800000000000001E-2</v>
      </c>
      <c r="H20" s="17">
        <v>2.1299999999999999E-2</v>
      </c>
      <c r="I20" s="17">
        <v>-9.7000000000000003E-3</v>
      </c>
      <c r="J20" s="17">
        <v>1.18E-2</v>
      </c>
      <c r="K20" s="17">
        <v>3.15E-2</v>
      </c>
      <c r="L20" s="17">
        <v>8.3000000000000001E-3</v>
      </c>
      <c r="M20" s="17">
        <v>1.2E-2</v>
      </c>
      <c r="N20" s="17">
        <v>0.98</v>
      </c>
      <c r="O20" s="17">
        <v>1.1000000000000001E-3</v>
      </c>
      <c r="P20" s="17">
        <v>0.95</v>
      </c>
      <c r="Q20" s="17">
        <v>0.3</v>
      </c>
      <c r="R20" s="17">
        <v>0.998</v>
      </c>
      <c r="S20" s="17">
        <v>0.6</v>
      </c>
      <c r="T20" s="17">
        <v>20081231</v>
      </c>
      <c r="U20" s="17">
        <v>20190731</v>
      </c>
      <c r="V20" s="17">
        <v>128</v>
      </c>
    </row>
    <row r="21" spans="1:22">
      <c r="A21" s="17" t="s">
        <v>1885</v>
      </c>
      <c r="B21" s="17">
        <v>3.0499999999999999E-2</v>
      </c>
      <c r="C21" s="17">
        <v>2.92E-2</v>
      </c>
      <c r="D21" s="17">
        <v>3.44E-2</v>
      </c>
      <c r="E21" s="17">
        <v>2.06E-2</v>
      </c>
      <c r="F21" s="17">
        <v>2.12E-2</v>
      </c>
      <c r="G21" s="17">
        <v>-3.3500000000000002E-2</v>
      </c>
      <c r="H21" s="17">
        <v>2.9499999999999998E-2</v>
      </c>
      <c r="I21" s="17">
        <v>6.1999999999999998E-3</v>
      </c>
      <c r="J21" s="17">
        <v>1.0999999999999999E-2</v>
      </c>
      <c r="K21" s="17">
        <v>-3.3500000000000002E-2</v>
      </c>
      <c r="L21" s="17">
        <v>3.2000000000000002E-3</v>
      </c>
      <c r="M21" s="17">
        <v>1.0999999999999999E-2</v>
      </c>
      <c r="N21" s="17">
        <v>0.56000000000000005</v>
      </c>
      <c r="O21" s="34">
        <v>1E-4</v>
      </c>
      <c r="P21" s="17">
        <v>0.03</v>
      </c>
      <c r="Q21" s="17">
        <v>0.04</v>
      </c>
      <c r="R21" s="17">
        <v>0.82299999999999995</v>
      </c>
      <c r="S21" s="17">
        <v>0.96</v>
      </c>
      <c r="T21" s="17">
        <v>20081231</v>
      </c>
      <c r="U21" s="17">
        <v>20190731</v>
      </c>
      <c r="V21" s="17">
        <v>128</v>
      </c>
    </row>
    <row r="22" spans="1:22">
      <c r="A22" s="17" t="s">
        <v>1886</v>
      </c>
      <c r="B22" s="17">
        <v>2.6200000000000001E-2</v>
      </c>
      <c r="C22" s="17">
        <v>3.0300000000000001E-2</v>
      </c>
      <c r="D22" s="17">
        <v>2.64E-2</v>
      </c>
      <c r="E22" s="17">
        <v>1.7600000000000001E-2</v>
      </c>
      <c r="F22" s="17">
        <v>2.35E-2</v>
      </c>
      <c r="G22" s="17">
        <v>-2.3E-2</v>
      </c>
      <c r="H22" s="17">
        <v>3.6299999999999999E-2</v>
      </c>
      <c r="I22" s="17">
        <v>6.8999999999999999E-3</v>
      </c>
      <c r="J22" s="17">
        <v>2.3599999999999999E-2</v>
      </c>
      <c r="K22" s="17">
        <v>-4.3499999999999997E-2</v>
      </c>
      <c r="L22" s="17">
        <v>8.3000000000000001E-3</v>
      </c>
      <c r="M22" s="17">
        <v>1.2E-2</v>
      </c>
      <c r="N22" s="17">
        <v>0.64</v>
      </c>
      <c r="O22" s="34">
        <v>2.0000000000000001E-4</v>
      </c>
      <c r="P22" s="17">
        <v>0.1</v>
      </c>
      <c r="Q22" s="17">
        <v>7.0000000000000007E-2</v>
      </c>
      <c r="R22" s="17">
        <v>0.81100000000000005</v>
      </c>
      <c r="S22" s="17">
        <v>0.96</v>
      </c>
      <c r="T22" s="17">
        <v>20081231</v>
      </c>
      <c r="U22" s="17">
        <v>20190731</v>
      </c>
      <c r="V22" s="17">
        <v>128</v>
      </c>
    </row>
    <row r="23" spans="1:22">
      <c r="A23" s="17" t="s">
        <v>1887</v>
      </c>
      <c r="B23" s="17">
        <v>-7.3000000000000001E-3</v>
      </c>
      <c r="C23" s="17">
        <v>1.14E-2</v>
      </c>
      <c r="D23" s="17">
        <v>3.2599999999999997E-2</v>
      </c>
      <c r="E23" s="17">
        <v>2.3300000000000001E-2</v>
      </c>
      <c r="F23" s="17">
        <v>2.1000000000000001E-2</v>
      </c>
      <c r="G23" s="17">
        <v>7.3000000000000001E-3</v>
      </c>
      <c r="H23" s="17">
        <v>1.8499999999999999E-2</v>
      </c>
      <c r="I23" s="17">
        <v>2.4199999999999999E-2</v>
      </c>
      <c r="J23" s="17">
        <v>3.6499999999999998E-2</v>
      </c>
      <c r="K23" s="17">
        <v>3.5499999999999997E-2</v>
      </c>
      <c r="L23" s="17">
        <v>4.4900000000000002E-2</v>
      </c>
      <c r="M23" s="17">
        <v>2.1999999999999999E-2</v>
      </c>
      <c r="N23" s="17">
        <v>1.41</v>
      </c>
      <c r="O23" s="17">
        <v>2E-3</v>
      </c>
      <c r="P23" s="17">
        <v>1.19</v>
      </c>
      <c r="Q23" s="17">
        <v>0.59</v>
      </c>
      <c r="R23" s="17">
        <v>0.96599999999999997</v>
      </c>
      <c r="S23" s="17">
        <v>0.92</v>
      </c>
      <c r="T23" s="17">
        <v>20081231</v>
      </c>
      <c r="U23" s="17">
        <v>20190731</v>
      </c>
      <c r="V23" s="17">
        <v>128</v>
      </c>
    </row>
    <row r="24" spans="1:22">
      <c r="A24" s="17" t="s">
        <v>1888</v>
      </c>
      <c r="B24" s="17">
        <v>2.9899999999999999E-2</v>
      </c>
      <c r="C24" s="17">
        <v>3.7100000000000001E-2</v>
      </c>
      <c r="D24" s="17">
        <v>2.8899999999999999E-2</v>
      </c>
      <c r="E24" s="17">
        <v>3.8800000000000001E-2</v>
      </c>
      <c r="F24" s="17">
        <v>2.3199999999999998E-2</v>
      </c>
      <c r="G24" s="17">
        <v>-1.8200000000000001E-2</v>
      </c>
      <c r="H24" s="17">
        <v>4.9599999999999998E-2</v>
      </c>
      <c r="I24" s="17">
        <v>2.86E-2</v>
      </c>
      <c r="J24" s="17">
        <v>3.15E-2</v>
      </c>
      <c r="K24" s="17">
        <v>3.3599999999999998E-2</v>
      </c>
      <c r="L24" s="17">
        <v>2.3E-2</v>
      </c>
      <c r="M24" s="17">
        <v>2.8000000000000001E-2</v>
      </c>
      <c r="N24" s="17">
        <v>1.53</v>
      </c>
      <c r="O24" s="17">
        <v>1.1000000000000001E-3</v>
      </c>
      <c r="P24" s="17">
        <v>0.78</v>
      </c>
      <c r="Q24" s="17">
        <v>0.42</v>
      </c>
      <c r="R24" s="17">
        <v>0.999</v>
      </c>
      <c r="S24" s="17">
        <v>0.87</v>
      </c>
      <c r="T24" s="17">
        <v>20081231</v>
      </c>
      <c r="U24" s="17">
        <v>20190731</v>
      </c>
      <c r="V24" s="17">
        <v>128</v>
      </c>
    </row>
    <row r="25" spans="1:22">
      <c r="A25" s="17" t="s">
        <v>1889</v>
      </c>
      <c r="B25" s="17">
        <v>3.2000000000000002E-3</v>
      </c>
      <c r="C25" s="17">
        <v>5.1999999999999998E-3</v>
      </c>
      <c r="D25" s="17">
        <v>1.6899999999999998E-2</v>
      </c>
      <c r="E25" s="17">
        <v>3.4700000000000002E-2</v>
      </c>
      <c r="F25" s="17">
        <v>5.5999999999999999E-3</v>
      </c>
      <c r="G25" s="17">
        <v>3.85E-2</v>
      </c>
      <c r="H25" s="17">
        <v>1.24E-2</v>
      </c>
      <c r="I25" s="17">
        <v>2.2499999999999999E-2</v>
      </c>
      <c r="J25" s="17">
        <v>-2.4E-2</v>
      </c>
      <c r="K25" s="17">
        <v>1.9699999999999999E-2</v>
      </c>
      <c r="L25" s="17">
        <v>-2.0899999999999998E-2</v>
      </c>
      <c r="M25" s="17">
        <v>1.0999999999999999E-2</v>
      </c>
      <c r="N25" s="17">
        <v>0.75</v>
      </c>
      <c r="O25" s="34">
        <v>8.0000000000000004E-4</v>
      </c>
      <c r="P25" s="17">
        <v>0.55000000000000004</v>
      </c>
      <c r="Q25" s="17">
        <v>0.27</v>
      </c>
      <c r="R25" s="17">
        <v>0.96499999999999997</v>
      </c>
      <c r="S25" s="17">
        <v>0.98</v>
      </c>
      <c r="T25" s="17">
        <v>20081231</v>
      </c>
      <c r="U25" s="17">
        <v>20190731</v>
      </c>
      <c r="V25" s="17">
        <v>128</v>
      </c>
    </row>
    <row r="26" spans="1:22">
      <c r="A26" s="17" t="s">
        <v>1890</v>
      </c>
      <c r="B26" s="17">
        <v>2.06E-2</v>
      </c>
      <c r="C26" s="17">
        <v>-2.18E-2</v>
      </c>
      <c r="D26" s="17">
        <v>-9.2999999999999992E-3</v>
      </c>
      <c r="E26" s="17">
        <v>4.7000000000000002E-3</v>
      </c>
      <c r="F26" s="17">
        <v>-1.6000000000000001E-3</v>
      </c>
      <c r="G26" s="17">
        <v>-4.3700000000000003E-2</v>
      </c>
      <c r="H26" s="17">
        <v>1.0699999999999999E-2</v>
      </c>
      <c r="I26" s="17">
        <v>-5.8999999999999999E-3</v>
      </c>
      <c r="J26" s="17">
        <v>3.7000000000000002E-3</v>
      </c>
      <c r="K26" s="17">
        <v>-2.2100000000000002E-2</v>
      </c>
      <c r="L26" s="17">
        <v>7.9000000000000008E-3</v>
      </c>
      <c r="M26" s="17">
        <v>-6.0000000000000001E-3</v>
      </c>
      <c r="N26" s="17">
        <v>-0.35</v>
      </c>
      <c r="O26" s="34">
        <v>-4.0000000000000002E-4</v>
      </c>
      <c r="P26" s="17">
        <v>-0.2</v>
      </c>
      <c r="Q26" s="17">
        <v>-0.14000000000000001</v>
      </c>
      <c r="R26" s="17">
        <v>0.997</v>
      </c>
      <c r="S26" s="17">
        <v>0.98</v>
      </c>
      <c r="T26" s="17">
        <v>20081231</v>
      </c>
      <c r="U26" s="17">
        <v>20190731</v>
      </c>
      <c r="V26" s="17">
        <v>128</v>
      </c>
    </row>
    <row r="27" spans="1:22">
      <c r="A27" s="17" t="s">
        <v>1891</v>
      </c>
      <c r="B27" s="17">
        <v>3.6799999999999999E-2</v>
      </c>
      <c r="C27" s="17">
        <v>-1.6999999999999999E-3</v>
      </c>
      <c r="D27" s="17">
        <v>1.4500000000000001E-2</v>
      </c>
      <c r="E27" s="17">
        <v>6.4999999999999997E-3</v>
      </c>
      <c r="F27" s="17">
        <v>1.3599999999999999E-2</v>
      </c>
      <c r="G27" s="34">
        <v>1E-4</v>
      </c>
      <c r="H27" s="17">
        <v>1.9E-2</v>
      </c>
      <c r="I27" s="17">
        <v>3.27E-2</v>
      </c>
      <c r="J27" s="17">
        <v>2.8400000000000002E-2</v>
      </c>
      <c r="K27" s="17">
        <v>4.3900000000000002E-2</v>
      </c>
      <c r="L27" s="17">
        <v>3.2899999999999999E-2</v>
      </c>
      <c r="M27" s="17">
        <v>0.02</v>
      </c>
      <c r="N27" s="17">
        <v>1.46</v>
      </c>
      <c r="O27" s="17">
        <v>1.6999999999999999E-3</v>
      </c>
      <c r="P27" s="17">
        <v>1.1499999999999999</v>
      </c>
      <c r="Q27" s="17">
        <v>0.56999999999999995</v>
      </c>
      <c r="R27" s="17">
        <v>0.999</v>
      </c>
      <c r="S27" s="17">
        <v>0.93</v>
      </c>
      <c r="T27" s="17">
        <v>20081231</v>
      </c>
      <c r="U27" s="17">
        <v>20190731</v>
      </c>
      <c r="V27" s="17">
        <v>128</v>
      </c>
    </row>
    <row r="28" spans="1:22">
      <c r="A28" s="17" t="s">
        <v>1892</v>
      </c>
      <c r="B28" s="17">
        <v>8.0000000000000002E-3</v>
      </c>
      <c r="C28" s="17">
        <v>4.7000000000000002E-3</v>
      </c>
      <c r="D28" s="17">
        <v>7.7999999999999996E-3</v>
      </c>
      <c r="E28" s="17">
        <v>-6.4999999999999997E-3</v>
      </c>
      <c r="F28" s="17">
        <v>1.6E-2</v>
      </c>
      <c r="G28" s="17">
        <v>3.0800000000000001E-2</v>
      </c>
      <c r="H28" s="17">
        <v>-7.4000000000000003E-3</v>
      </c>
      <c r="I28" s="17">
        <v>2.8400000000000002E-2</v>
      </c>
      <c r="J28" s="17">
        <v>3.0200000000000001E-2</v>
      </c>
      <c r="K28" s="17">
        <v>1.8200000000000001E-2</v>
      </c>
      <c r="L28" s="17">
        <v>2.7E-2</v>
      </c>
      <c r="M28" s="17">
        <v>1.4E-2</v>
      </c>
      <c r="N28" s="17">
        <v>0.9</v>
      </c>
      <c r="O28" s="34">
        <v>8.0000000000000004E-4</v>
      </c>
      <c r="P28" s="17">
        <v>0.48</v>
      </c>
      <c r="Q28" s="17">
        <v>0.26</v>
      </c>
      <c r="R28" s="17">
        <v>0.999</v>
      </c>
      <c r="S28" s="17">
        <v>0.97</v>
      </c>
      <c r="T28" s="17">
        <v>20081231</v>
      </c>
      <c r="U28" s="17">
        <v>20190731</v>
      </c>
      <c r="V28" s="17">
        <v>128</v>
      </c>
    </row>
    <row r="29" spans="1:22">
      <c r="A29" s="17" t="s">
        <v>1893</v>
      </c>
      <c r="B29" s="17">
        <v>1.6999999999999999E-3</v>
      </c>
      <c r="C29" s="34">
        <v>-2.9999999999999997E-4</v>
      </c>
      <c r="D29" s="17">
        <v>1.9099999999999999E-2</v>
      </c>
      <c r="E29" s="17">
        <v>3.5999999999999999E-3</v>
      </c>
      <c r="F29" s="17">
        <v>-6.1999999999999998E-3</v>
      </c>
      <c r="G29" s="17">
        <v>1.2800000000000001E-2</v>
      </c>
      <c r="H29" s="17">
        <v>1.18E-2</v>
      </c>
      <c r="I29" s="17">
        <v>1.6299999999999999E-2</v>
      </c>
      <c r="J29" s="17">
        <v>-3.3999999999999998E-3</v>
      </c>
      <c r="K29" s="17">
        <v>3.7499999999999999E-2</v>
      </c>
      <c r="L29" s="17">
        <v>1.4500000000000001E-2</v>
      </c>
      <c r="M29" s="17">
        <v>0.01</v>
      </c>
      <c r="N29" s="17">
        <v>0.75</v>
      </c>
      <c r="O29" s="34">
        <v>5.0000000000000001E-4</v>
      </c>
      <c r="P29" s="17">
        <v>0.42</v>
      </c>
      <c r="Q29" s="17">
        <v>0.18</v>
      </c>
      <c r="R29" s="17">
        <v>0.999</v>
      </c>
      <c r="S29" s="17">
        <v>0.99</v>
      </c>
      <c r="T29" s="17">
        <v>20081231</v>
      </c>
      <c r="U29" s="17">
        <v>20190731</v>
      </c>
      <c r="V29" s="17">
        <v>128</v>
      </c>
    </row>
    <row r="30" spans="1:22">
      <c r="A30" s="17" t="s">
        <v>1894</v>
      </c>
      <c r="B30" s="17">
        <v>-5.4999999999999997E-3</v>
      </c>
      <c r="C30" s="17">
        <v>4.3400000000000001E-2</v>
      </c>
      <c r="D30" s="17">
        <v>2.87E-2</v>
      </c>
      <c r="E30" s="17">
        <v>4.4699999999999997E-2</v>
      </c>
      <c r="F30" s="17">
        <v>4.99E-2</v>
      </c>
      <c r="G30" s="17">
        <v>-3.7499999999999999E-2</v>
      </c>
      <c r="H30" s="17">
        <v>2.8299999999999999E-2</v>
      </c>
      <c r="I30" s="17">
        <v>1.5599999999999999E-2</v>
      </c>
      <c r="J30" s="17">
        <v>4.7E-2</v>
      </c>
      <c r="K30" s="17">
        <v>7.4000000000000003E-3</v>
      </c>
      <c r="L30" s="17">
        <v>2.4E-2</v>
      </c>
      <c r="M30" s="17">
        <v>2.1999999999999999E-2</v>
      </c>
      <c r="N30" s="17">
        <v>1.01</v>
      </c>
      <c r="O30" s="17">
        <v>1.8E-3</v>
      </c>
      <c r="P30" s="17">
        <v>0.82</v>
      </c>
      <c r="Q30" s="17">
        <v>0.57999999999999996</v>
      </c>
      <c r="R30" s="17">
        <v>0.999</v>
      </c>
      <c r="S30" s="17">
        <v>0.99</v>
      </c>
      <c r="T30" s="17">
        <v>20081231</v>
      </c>
      <c r="U30" s="17">
        <v>20190731</v>
      </c>
      <c r="V30" s="17">
        <v>128</v>
      </c>
    </row>
    <row r="31" spans="1:22">
      <c r="A31" s="17" t="s">
        <v>1895</v>
      </c>
      <c r="B31" s="17">
        <v>7.6E-3</v>
      </c>
      <c r="C31" s="17">
        <v>3.9399999999999998E-2</v>
      </c>
      <c r="D31" s="17">
        <v>2.8400000000000002E-2</v>
      </c>
      <c r="E31" s="17">
        <v>5.3400000000000003E-2</v>
      </c>
      <c r="F31" s="17">
        <v>3.0599999999999999E-2</v>
      </c>
      <c r="G31" s="17">
        <v>-2.2800000000000001E-2</v>
      </c>
      <c r="H31" s="17">
        <v>1.21E-2</v>
      </c>
      <c r="I31" s="17">
        <v>2.12E-2</v>
      </c>
      <c r="J31" s="17">
        <v>4.4200000000000003E-2</v>
      </c>
      <c r="K31" s="17">
        <v>5.4000000000000003E-3</v>
      </c>
      <c r="L31" s="17">
        <v>1.9300000000000001E-2</v>
      </c>
      <c r="M31" s="17">
        <v>2.1999999999999999E-2</v>
      </c>
      <c r="N31" s="17">
        <v>1.27</v>
      </c>
      <c r="O31" s="17">
        <v>1.8E-3</v>
      </c>
      <c r="P31" s="17">
        <v>1.03</v>
      </c>
      <c r="Q31" s="17">
        <v>0.59</v>
      </c>
      <c r="R31" s="17">
        <v>0.999</v>
      </c>
      <c r="S31" s="17">
        <v>0.95</v>
      </c>
      <c r="T31" s="17">
        <v>20081231</v>
      </c>
      <c r="U31" s="17">
        <v>20190731</v>
      </c>
      <c r="V31" s="17">
        <v>128</v>
      </c>
    </row>
    <row r="32" spans="1:22">
      <c r="A32" s="17" t="s">
        <v>1896</v>
      </c>
      <c r="B32" s="17">
        <v>7.4999999999999997E-3</v>
      </c>
      <c r="C32" s="17">
        <v>5.6099999999999997E-2</v>
      </c>
      <c r="D32" s="17">
        <v>1.4200000000000001E-2</v>
      </c>
      <c r="E32" s="17">
        <v>2.86E-2</v>
      </c>
      <c r="F32" s="17">
        <v>3.85E-2</v>
      </c>
      <c r="G32" s="17">
        <v>-5.45E-2</v>
      </c>
      <c r="H32" s="17">
        <v>4.1799999999999997E-2</v>
      </c>
      <c r="I32" s="17">
        <v>3.6600000000000001E-2</v>
      </c>
      <c r="J32" s="17">
        <v>9.8500000000000004E-2</v>
      </c>
      <c r="K32" s="17">
        <v>2.69E-2</v>
      </c>
      <c r="L32" s="17">
        <v>2.69E-2</v>
      </c>
      <c r="M32" s="17">
        <v>2.9000000000000001E-2</v>
      </c>
      <c r="N32" s="17">
        <v>1</v>
      </c>
      <c r="O32" s="17">
        <v>2.3E-3</v>
      </c>
      <c r="P32" s="17">
        <v>0.8</v>
      </c>
      <c r="Q32" s="17">
        <v>0.79</v>
      </c>
      <c r="R32" s="17">
        <v>0.99399999999999999</v>
      </c>
      <c r="S32" s="17">
        <v>0.98</v>
      </c>
      <c r="T32" s="17">
        <v>20081231</v>
      </c>
      <c r="U32" s="17">
        <v>20190731</v>
      </c>
      <c r="V32" s="17">
        <v>128</v>
      </c>
    </row>
    <row r="33" spans="1:22">
      <c r="A33" s="17" t="s">
        <v>1897</v>
      </c>
      <c r="B33" s="17">
        <v>1.54E-2</v>
      </c>
      <c r="C33" s="17">
        <v>1.89E-2</v>
      </c>
      <c r="D33" s="17">
        <v>3.3E-3</v>
      </c>
      <c r="E33" s="17">
        <v>-1.5E-3</v>
      </c>
      <c r="F33" s="17">
        <v>1.6000000000000001E-3</v>
      </c>
      <c r="G33" s="17">
        <v>-1.6400000000000001E-2</v>
      </c>
      <c r="H33" s="17">
        <v>1.1000000000000001E-3</v>
      </c>
      <c r="I33" s="17">
        <v>1.8800000000000001E-2</v>
      </c>
      <c r="J33" s="17">
        <v>2.3800000000000002E-2</v>
      </c>
      <c r="K33" s="17">
        <v>2.0899999999999998E-2</v>
      </c>
      <c r="L33" s="17">
        <v>1.2999999999999999E-3</v>
      </c>
      <c r="M33" s="17">
        <v>8.0000000000000002E-3</v>
      </c>
      <c r="N33" s="17">
        <v>0.46</v>
      </c>
      <c r="O33" s="34">
        <v>2.9999999999999997E-4</v>
      </c>
      <c r="P33" s="17">
        <v>0.22</v>
      </c>
      <c r="Q33" s="17">
        <v>0.15</v>
      </c>
      <c r="R33" s="17">
        <v>0.76200000000000001</v>
      </c>
      <c r="S33" s="17">
        <v>0.94</v>
      </c>
      <c r="T33" s="17">
        <v>20081231</v>
      </c>
      <c r="U33" s="17">
        <v>20190731</v>
      </c>
      <c r="V33" s="17">
        <v>128</v>
      </c>
    </row>
    <row r="34" spans="1:22">
      <c r="A34" s="17" t="s">
        <v>1937</v>
      </c>
      <c r="B34" s="17">
        <v>9.7000000000000003E-3</v>
      </c>
      <c r="C34" s="17">
        <v>-3.5999999999999999E-3</v>
      </c>
      <c r="D34" s="17">
        <v>-9.5999999999999992E-3</v>
      </c>
      <c r="E34" s="17">
        <v>4.1999999999999997E-3</v>
      </c>
      <c r="F34" s="17">
        <v>-1.78E-2</v>
      </c>
      <c r="G34" s="17">
        <v>-1.0699999999999999E-2</v>
      </c>
      <c r="H34" s="17">
        <v>-9.1000000000000004E-3</v>
      </c>
      <c r="I34" s="17">
        <v>2.8500000000000001E-2</v>
      </c>
      <c r="J34" s="17">
        <v>-7.0000000000000001E-3</v>
      </c>
      <c r="K34" s="17">
        <v>1.0999999999999999E-2</v>
      </c>
      <c r="L34" s="17">
        <v>3.0499999999999999E-2</v>
      </c>
      <c r="M34" s="17">
        <v>1E-3</v>
      </c>
      <c r="N34" s="17">
        <v>0.1</v>
      </c>
      <c r="O34" s="17">
        <v>0</v>
      </c>
      <c r="P34" s="17">
        <v>0.03</v>
      </c>
      <c r="Q34" s="17">
        <v>0.03</v>
      </c>
      <c r="R34" s="17">
        <v>0.93100000000000005</v>
      </c>
      <c r="S34" s="17">
        <v>0.97</v>
      </c>
      <c r="T34" s="17">
        <v>20081231</v>
      </c>
      <c r="U34" s="17">
        <v>20190731</v>
      </c>
      <c r="V34" s="17">
        <v>128</v>
      </c>
    </row>
    <row r="35" spans="1:22">
      <c r="A35" s="17" t="s">
        <v>1938</v>
      </c>
      <c r="B35" s="34">
        <v>8.0000000000000004E-4</v>
      </c>
      <c r="C35" s="17">
        <v>1.17E-2</v>
      </c>
      <c r="D35" s="17">
        <v>3.4299999999999997E-2</v>
      </c>
      <c r="E35" s="17">
        <v>7.9000000000000008E-3</v>
      </c>
      <c r="F35" s="17">
        <v>1.26E-2</v>
      </c>
      <c r="G35" s="17">
        <v>1.8800000000000001E-2</v>
      </c>
      <c r="H35" s="17">
        <v>-1E-3</v>
      </c>
      <c r="I35" s="17">
        <v>1.5299999999999999E-2</v>
      </c>
      <c r="J35" s="17">
        <v>7.4000000000000003E-3</v>
      </c>
      <c r="K35" s="17">
        <v>2.3300000000000001E-2</v>
      </c>
      <c r="L35" s="17">
        <v>-1.84E-2</v>
      </c>
      <c r="M35" s="17">
        <v>1.0999999999999999E-2</v>
      </c>
      <c r="N35" s="17">
        <v>0.92</v>
      </c>
      <c r="O35" s="34">
        <v>8.0000000000000004E-4</v>
      </c>
      <c r="P35" s="17">
        <v>0.75</v>
      </c>
      <c r="Q35" s="17">
        <v>0.25</v>
      </c>
      <c r="R35" s="17">
        <v>0.92600000000000005</v>
      </c>
      <c r="S35" s="17">
        <v>0.65</v>
      </c>
      <c r="T35" s="17">
        <v>20081231</v>
      </c>
      <c r="U35" s="17">
        <v>20190731</v>
      </c>
      <c r="V35" s="17">
        <v>128</v>
      </c>
    </row>
    <row r="36" spans="1:22">
      <c r="A36" s="17" t="s">
        <v>1898</v>
      </c>
      <c r="B36" s="17">
        <v>1.0999999999999999E-2</v>
      </c>
      <c r="C36" s="17">
        <v>4.5999999999999999E-2</v>
      </c>
      <c r="D36" s="17">
        <v>1.1900000000000001E-2</v>
      </c>
      <c r="E36" s="17">
        <v>2.9100000000000001E-2</v>
      </c>
      <c r="F36" s="17">
        <v>1.29E-2</v>
      </c>
      <c r="G36" s="17">
        <v>8.9999999999999993E-3</v>
      </c>
      <c r="H36" s="17">
        <v>2.7E-2</v>
      </c>
      <c r="I36" s="17">
        <v>2.7E-2</v>
      </c>
      <c r="J36" s="17">
        <v>3.1600000000000003E-2</v>
      </c>
      <c r="K36" s="17">
        <v>1.9599999999999999E-2</v>
      </c>
      <c r="L36" s="17">
        <v>2.23E-2</v>
      </c>
      <c r="M36" s="17">
        <v>2.3E-2</v>
      </c>
      <c r="N36" s="17">
        <v>1.42</v>
      </c>
      <c r="O36" s="17">
        <v>1.6999999999999999E-3</v>
      </c>
      <c r="P36" s="17">
        <v>1.22</v>
      </c>
      <c r="Q36" s="17">
        <v>0.47</v>
      </c>
      <c r="R36" s="17">
        <v>0.89900000000000002</v>
      </c>
      <c r="S36" s="17">
        <v>0.8</v>
      </c>
      <c r="T36" s="17">
        <v>20081231</v>
      </c>
      <c r="U36" s="17">
        <v>20190731</v>
      </c>
      <c r="V36" s="17">
        <v>128</v>
      </c>
    </row>
    <row r="37" spans="1:22">
      <c r="A37" s="17" t="s">
        <v>1918</v>
      </c>
      <c r="B37" s="17">
        <v>1.41E-2</v>
      </c>
      <c r="C37" s="17">
        <v>4.1300000000000003E-2</v>
      </c>
      <c r="D37" s="17">
        <v>1.9400000000000001E-2</v>
      </c>
      <c r="E37" s="17">
        <v>4.2099999999999999E-2</v>
      </c>
      <c r="F37" s="17">
        <v>2.7300000000000001E-2</v>
      </c>
      <c r="G37" s="17">
        <v>-4.2200000000000001E-2</v>
      </c>
      <c r="H37" s="17">
        <v>5.8000000000000003E-2</v>
      </c>
      <c r="I37" s="17">
        <v>4.4200000000000003E-2</v>
      </c>
      <c r="J37" s="17">
        <v>6.9500000000000006E-2</v>
      </c>
      <c r="K37" s="17">
        <v>2.1399999999999999E-2</v>
      </c>
      <c r="L37" s="17">
        <v>2.6700000000000002E-2</v>
      </c>
      <c r="M37" s="17">
        <v>2.9000000000000001E-2</v>
      </c>
      <c r="N37" s="17">
        <v>1.1399999999999999</v>
      </c>
      <c r="O37" s="17">
        <v>2E-3</v>
      </c>
      <c r="P37" s="17">
        <v>0.72</v>
      </c>
      <c r="Q37" s="17">
        <v>0.68</v>
      </c>
      <c r="R37" s="17">
        <v>0.99299999999999999</v>
      </c>
      <c r="S37" s="17">
        <v>0.98</v>
      </c>
      <c r="T37" s="17">
        <v>20081231</v>
      </c>
      <c r="U37" s="17">
        <v>20190731</v>
      </c>
      <c r="V37" s="17">
        <v>128</v>
      </c>
    </row>
    <row r="38" spans="1:22">
      <c r="A38" s="17" t="s">
        <v>1920</v>
      </c>
      <c r="B38" s="17">
        <v>2.06E-2</v>
      </c>
      <c r="C38" s="17">
        <v>4.9299999999999997E-2</v>
      </c>
      <c r="D38" s="17">
        <v>2.7699999999999999E-2</v>
      </c>
      <c r="E38" s="17">
        <v>4.1399999999999999E-2</v>
      </c>
      <c r="F38" s="17">
        <v>2.9000000000000001E-2</v>
      </c>
      <c r="G38" s="17">
        <v>-3.7600000000000001E-2</v>
      </c>
      <c r="H38" s="17">
        <v>5.6500000000000002E-2</v>
      </c>
      <c r="I38" s="17">
        <v>4.3900000000000002E-2</v>
      </c>
      <c r="J38" s="17">
        <v>9.1499999999999998E-2</v>
      </c>
      <c r="K38" s="17">
        <v>2.0799999999999999E-2</v>
      </c>
      <c r="L38" s="17">
        <v>3.1699999999999999E-2</v>
      </c>
      <c r="M38" s="17">
        <v>3.4000000000000002E-2</v>
      </c>
      <c r="N38" s="17">
        <v>1.24</v>
      </c>
      <c r="O38" s="17">
        <v>2.3999999999999998E-3</v>
      </c>
      <c r="P38" s="17">
        <v>0.86</v>
      </c>
      <c r="Q38" s="17">
        <v>0.79</v>
      </c>
      <c r="R38" s="17">
        <v>0.95899999999999996</v>
      </c>
      <c r="S38" s="17">
        <v>0.97</v>
      </c>
      <c r="T38" s="17">
        <v>20081231</v>
      </c>
      <c r="U38" s="17">
        <v>20190731</v>
      </c>
      <c r="V38" s="17">
        <v>128</v>
      </c>
    </row>
    <row r="39" spans="1:22">
      <c r="A39" s="17" t="s">
        <v>1899</v>
      </c>
      <c r="B39" s="17">
        <v>1.5800000000000002E-2</v>
      </c>
      <c r="C39" s="17">
        <v>8.9999999999999993E-3</v>
      </c>
      <c r="D39" s="17">
        <v>1.8599999999999998E-2</v>
      </c>
      <c r="E39" s="17">
        <v>1.17E-2</v>
      </c>
      <c r="F39" s="17">
        <v>3.2399999999999998E-2</v>
      </c>
      <c r="G39" s="17">
        <v>-2.81E-2</v>
      </c>
      <c r="H39" s="17">
        <v>1.9199999999999998E-2</v>
      </c>
      <c r="I39" s="17">
        <v>9.5999999999999992E-3</v>
      </c>
      <c r="J39" s="17">
        <v>2.1999999999999999E-2</v>
      </c>
      <c r="K39" s="17">
        <v>2.2599999999999999E-2</v>
      </c>
      <c r="L39" s="17">
        <v>3.4799999999999998E-2</v>
      </c>
      <c r="M39" s="17">
        <v>1.4999999999999999E-2</v>
      </c>
      <c r="N39" s="17">
        <v>0.81</v>
      </c>
      <c r="O39" s="17">
        <v>1.1000000000000001E-3</v>
      </c>
      <c r="P39" s="17">
        <v>0.64</v>
      </c>
      <c r="Q39" s="17">
        <v>0.42</v>
      </c>
      <c r="R39" s="17">
        <v>0.999</v>
      </c>
      <c r="S39" s="17">
        <v>0.99</v>
      </c>
      <c r="T39" s="17">
        <v>20081231</v>
      </c>
      <c r="U39" s="17">
        <v>20190731</v>
      </c>
      <c r="V39" s="17">
        <v>128</v>
      </c>
    </row>
    <row r="40" spans="1:22">
      <c r="A40" s="17" t="s">
        <v>1900</v>
      </c>
      <c r="B40" s="17">
        <v>1.12E-2</v>
      </c>
      <c r="C40" s="17">
        <v>3.4700000000000002E-2</v>
      </c>
      <c r="D40" s="17">
        <v>2.98E-2</v>
      </c>
      <c r="E40" s="17">
        <v>1.6400000000000001E-2</v>
      </c>
      <c r="F40" s="17">
        <v>3.2000000000000001E-2</v>
      </c>
      <c r="G40" s="17">
        <v>1.26E-2</v>
      </c>
      <c r="H40" s="17">
        <v>3.0099999999999998E-2</v>
      </c>
      <c r="I40" s="17">
        <v>2.8000000000000001E-2</v>
      </c>
      <c r="J40" s="17">
        <v>4.5600000000000002E-2</v>
      </c>
      <c r="K40" s="17">
        <v>-4.7999999999999996E-3</v>
      </c>
      <c r="L40" s="17">
        <v>3.0300000000000001E-2</v>
      </c>
      <c r="M40" s="17">
        <v>2.4E-2</v>
      </c>
      <c r="N40" s="17">
        <v>2.0299999999999998</v>
      </c>
      <c r="O40" s="17">
        <v>1.1000000000000001E-3</v>
      </c>
      <c r="P40" s="17">
        <v>1.08</v>
      </c>
      <c r="Q40" s="17">
        <v>0.5</v>
      </c>
      <c r="R40" s="17">
        <v>0.996</v>
      </c>
      <c r="S40" s="17">
        <v>0.98</v>
      </c>
      <c r="T40" s="17">
        <v>20081231</v>
      </c>
      <c r="U40" s="17">
        <v>20190731</v>
      </c>
      <c r="V40" s="17">
        <v>128</v>
      </c>
    </row>
    <row r="41" spans="1:22">
      <c r="A41" s="17" t="s">
        <v>1901</v>
      </c>
      <c r="B41" s="17">
        <v>1.1900000000000001E-2</v>
      </c>
      <c r="C41" s="17">
        <v>3.73E-2</v>
      </c>
      <c r="D41" s="17">
        <v>3.0800000000000001E-2</v>
      </c>
      <c r="E41" s="17">
        <v>1.55E-2</v>
      </c>
      <c r="F41" s="17">
        <v>2.7400000000000001E-2</v>
      </c>
      <c r="G41" s="17">
        <v>1.72E-2</v>
      </c>
      <c r="H41" s="17">
        <v>2.5700000000000001E-2</v>
      </c>
      <c r="I41" s="17">
        <v>3.8300000000000001E-2</v>
      </c>
      <c r="J41" s="17">
        <v>5.5E-2</v>
      </c>
      <c r="K41" s="17">
        <v>-5.1999999999999998E-3</v>
      </c>
      <c r="L41" s="17">
        <v>2.1399999999999999E-2</v>
      </c>
      <c r="M41" s="17">
        <v>2.5000000000000001E-2</v>
      </c>
      <c r="N41" s="17">
        <v>2.08</v>
      </c>
      <c r="O41" s="17">
        <v>1E-3</v>
      </c>
      <c r="P41" s="17">
        <v>1.01</v>
      </c>
      <c r="Q41" s="17">
        <v>0.48</v>
      </c>
      <c r="R41" s="17">
        <v>0.996</v>
      </c>
      <c r="S41" s="17">
        <v>0.98</v>
      </c>
      <c r="T41" s="17">
        <v>20081231</v>
      </c>
      <c r="U41" s="17">
        <v>20190731</v>
      </c>
      <c r="V41" s="17">
        <v>128</v>
      </c>
    </row>
    <row r="42" spans="1:22">
      <c r="A42" s="17" t="s">
        <v>1902</v>
      </c>
      <c r="B42" s="17">
        <v>-1.5599999999999999E-2</v>
      </c>
      <c r="C42" s="17">
        <v>-2.93E-2</v>
      </c>
      <c r="D42" s="17">
        <v>2.63E-2</v>
      </c>
      <c r="E42" s="17">
        <v>1.6500000000000001E-2</v>
      </c>
      <c r="F42" s="17">
        <v>1.32E-2</v>
      </c>
      <c r="G42" s="17">
        <v>-7.4000000000000003E-3</v>
      </c>
      <c r="H42" s="17">
        <v>2.5600000000000001E-2</v>
      </c>
      <c r="I42" s="17">
        <v>-5.0000000000000001E-3</v>
      </c>
      <c r="J42" s="17">
        <v>-1.72E-2</v>
      </c>
      <c r="K42" s="17">
        <v>-2.24E-2</v>
      </c>
      <c r="L42" s="17">
        <v>-2.9600000000000001E-2</v>
      </c>
      <c r="M42" s="17">
        <v>-3.0000000000000001E-3</v>
      </c>
      <c r="N42" s="17">
        <v>-0.18</v>
      </c>
      <c r="O42" s="34">
        <v>-1E-4</v>
      </c>
      <c r="P42" s="17">
        <v>-0.05</v>
      </c>
      <c r="Q42" s="17">
        <v>-0.06</v>
      </c>
      <c r="R42" s="17">
        <v>0.72</v>
      </c>
      <c r="S42" s="17">
        <v>0.99</v>
      </c>
      <c r="T42" s="17">
        <v>20081231</v>
      </c>
      <c r="U42" s="17">
        <v>20190731</v>
      </c>
      <c r="V42" s="17">
        <v>128</v>
      </c>
    </row>
    <row r="43" spans="1:22">
      <c r="A43" s="17" t="s">
        <v>1903</v>
      </c>
      <c r="B43" s="17">
        <v>2.8899999999999999E-2</v>
      </c>
      <c r="C43" s="17">
        <v>1.54E-2</v>
      </c>
      <c r="D43" s="17">
        <v>3.6999999999999998E-2</v>
      </c>
      <c r="E43" s="17">
        <v>3.0800000000000001E-2</v>
      </c>
      <c r="F43" s="17">
        <v>3.73E-2</v>
      </c>
      <c r="G43" s="17">
        <v>-1.4E-3</v>
      </c>
      <c r="H43" s="17">
        <v>4.2900000000000001E-2</v>
      </c>
      <c r="I43" s="17">
        <v>4.0099999999999997E-2</v>
      </c>
      <c r="J43" s="17">
        <v>4.3299999999999998E-2</v>
      </c>
      <c r="K43" s="17">
        <v>4.2700000000000002E-2</v>
      </c>
      <c r="L43" s="17">
        <v>2.7699999999999999E-2</v>
      </c>
      <c r="M43" s="17">
        <v>3.1E-2</v>
      </c>
      <c r="N43" s="17">
        <v>1.68</v>
      </c>
      <c r="O43" s="17">
        <v>2.3E-3</v>
      </c>
      <c r="P43" s="17">
        <v>1.24</v>
      </c>
      <c r="Q43" s="17">
        <v>0.74</v>
      </c>
      <c r="R43" s="17">
        <v>0.94799999999999995</v>
      </c>
      <c r="S43" s="17">
        <v>0.94</v>
      </c>
      <c r="T43" s="17">
        <v>20081231</v>
      </c>
      <c r="U43" s="17">
        <v>20190731</v>
      </c>
      <c r="V43" s="17">
        <v>128</v>
      </c>
    </row>
    <row r="44" spans="1:22">
      <c r="A44" s="17" t="s">
        <v>1904</v>
      </c>
      <c r="B44" s="17">
        <v>1.29E-2</v>
      </c>
      <c r="C44" s="17">
        <v>4.7000000000000002E-3</v>
      </c>
      <c r="D44" s="17">
        <v>1.04E-2</v>
      </c>
      <c r="E44" s="17">
        <v>6.0000000000000001E-3</v>
      </c>
      <c r="F44" s="17">
        <v>8.3000000000000001E-3</v>
      </c>
      <c r="G44" s="17">
        <v>1.1299999999999999E-2</v>
      </c>
      <c r="H44" s="17">
        <v>2.4400000000000002E-2</v>
      </c>
      <c r="I44" s="17">
        <v>1.8100000000000002E-2</v>
      </c>
      <c r="J44" s="17">
        <v>4.1000000000000003E-3</v>
      </c>
      <c r="K44" s="17">
        <v>2.9600000000000001E-2</v>
      </c>
      <c r="L44" s="17">
        <v>2.8000000000000001E-2</v>
      </c>
      <c r="M44" s="17">
        <v>1.4E-2</v>
      </c>
      <c r="N44" s="17">
        <v>1.26</v>
      </c>
      <c r="O44" s="34">
        <v>5.0000000000000001E-4</v>
      </c>
      <c r="P44" s="17">
        <v>0.68</v>
      </c>
      <c r="Q44" s="17">
        <v>0.19</v>
      </c>
      <c r="R44" s="17">
        <v>0.999</v>
      </c>
      <c r="S44" s="17">
        <v>0.73</v>
      </c>
      <c r="T44" s="17">
        <v>20081231</v>
      </c>
      <c r="U44" s="17">
        <v>20190731</v>
      </c>
      <c r="V44" s="17">
        <v>128</v>
      </c>
    </row>
    <row r="45" spans="1:22">
      <c r="A45" s="17" t="s">
        <v>1905</v>
      </c>
      <c r="B45" s="17">
        <v>2.7300000000000001E-2</v>
      </c>
      <c r="C45" s="17">
        <v>1.84E-2</v>
      </c>
      <c r="D45" s="17">
        <v>2.1000000000000001E-2</v>
      </c>
      <c r="E45" s="17">
        <v>1.47E-2</v>
      </c>
      <c r="F45" s="17">
        <v>2.7099999999999999E-2</v>
      </c>
      <c r="G45" s="17">
        <v>-6.7000000000000002E-3</v>
      </c>
      <c r="H45" s="17">
        <v>2.8500000000000001E-2</v>
      </c>
      <c r="I45" s="17">
        <v>4.3200000000000002E-2</v>
      </c>
      <c r="J45" s="17">
        <v>4.0800000000000003E-2</v>
      </c>
      <c r="K45" s="17">
        <v>4.4400000000000002E-2</v>
      </c>
      <c r="L45" s="17">
        <v>4.4200000000000003E-2</v>
      </c>
      <c r="M45" s="17">
        <v>2.7E-2</v>
      </c>
      <c r="N45" s="17">
        <v>1.78</v>
      </c>
      <c r="O45" s="17">
        <v>2.0999999999999999E-3</v>
      </c>
      <c r="P45" s="17">
        <v>1.22</v>
      </c>
      <c r="Q45" s="17">
        <v>0.69</v>
      </c>
      <c r="R45" s="17">
        <v>0.999</v>
      </c>
      <c r="S45" s="17">
        <v>0.94</v>
      </c>
      <c r="T45" s="17">
        <v>20081231</v>
      </c>
      <c r="U45" s="17">
        <v>20190731</v>
      </c>
      <c r="V45" s="17">
        <v>128</v>
      </c>
    </row>
    <row r="46" spans="1:22">
      <c r="A46" s="17" t="s">
        <v>1939</v>
      </c>
      <c r="B46" s="17">
        <v>1.5800000000000002E-2</v>
      </c>
      <c r="C46" s="17">
        <v>1.0699999999999999E-2</v>
      </c>
      <c r="D46" s="17">
        <v>8.3000000000000001E-3</v>
      </c>
      <c r="E46" s="34">
        <v>6.9999999999999999E-4</v>
      </c>
      <c r="F46" s="17">
        <v>5.5999999999999999E-3</v>
      </c>
      <c r="G46" s="17">
        <v>-5.0000000000000001E-3</v>
      </c>
      <c r="H46" s="17">
        <v>3.09E-2</v>
      </c>
      <c r="I46" s="17">
        <v>-8.6999999999999994E-3</v>
      </c>
      <c r="J46" s="17">
        <v>1.03E-2</v>
      </c>
      <c r="K46" s="17">
        <v>8.8999999999999999E-3</v>
      </c>
      <c r="L46" s="17">
        <v>1.4E-2</v>
      </c>
      <c r="M46" s="17">
        <v>8.0000000000000002E-3</v>
      </c>
      <c r="N46" s="17">
        <v>0.74</v>
      </c>
      <c r="O46" s="34">
        <v>5.9999999999999995E-4</v>
      </c>
      <c r="P46" s="17">
        <v>0.56000000000000005</v>
      </c>
      <c r="Q46" s="17">
        <v>0.19</v>
      </c>
      <c r="R46" s="17">
        <v>0.999</v>
      </c>
      <c r="S46" s="17">
        <v>0.68</v>
      </c>
      <c r="T46" s="17">
        <v>20081231</v>
      </c>
      <c r="U46" s="17">
        <v>20190731</v>
      </c>
      <c r="V46" s="17">
        <v>128</v>
      </c>
    </row>
    <row r="47" spans="1:22">
      <c r="A47" s="17" t="s">
        <v>1906</v>
      </c>
      <c r="B47" s="17">
        <v>-4.5999999999999999E-3</v>
      </c>
      <c r="C47" s="17">
        <v>1.6299999999999999E-2</v>
      </c>
      <c r="D47" s="17">
        <v>-3.8999999999999998E-3</v>
      </c>
      <c r="E47" s="17">
        <v>1.9199999999999998E-2</v>
      </c>
      <c r="F47" s="17">
        <v>-1.8E-3</v>
      </c>
      <c r="G47" s="17">
        <v>1.5599999999999999E-2</v>
      </c>
      <c r="H47" s="17">
        <v>7.4000000000000003E-3</v>
      </c>
      <c r="I47" s="17">
        <v>3.4000000000000002E-2</v>
      </c>
      <c r="J47" s="17">
        <v>2.8400000000000002E-2</v>
      </c>
      <c r="K47" s="17">
        <v>5.1999999999999998E-3</v>
      </c>
      <c r="L47" s="17">
        <v>1.26E-2</v>
      </c>
      <c r="M47" s="17">
        <v>1.2E-2</v>
      </c>
      <c r="N47" s="17">
        <v>0.75</v>
      </c>
      <c r="O47" s="17">
        <v>1.1000000000000001E-3</v>
      </c>
      <c r="P47" s="17">
        <v>0.78</v>
      </c>
      <c r="Q47" s="17">
        <v>0.32</v>
      </c>
      <c r="R47" s="17">
        <v>0.90300000000000002</v>
      </c>
      <c r="S47" s="17">
        <v>0.85</v>
      </c>
      <c r="T47" s="17">
        <v>20081231</v>
      </c>
      <c r="U47" s="17">
        <v>20190731</v>
      </c>
      <c r="V47" s="17">
        <v>128</v>
      </c>
    </row>
    <row r="48" spans="1:22">
      <c r="A48" s="17" t="s">
        <v>1907</v>
      </c>
      <c r="B48" s="17">
        <v>-3.3999999999999998E-3</v>
      </c>
      <c r="C48" s="17">
        <v>1.2999999999999999E-2</v>
      </c>
      <c r="D48" s="17">
        <v>3.3399999999999999E-2</v>
      </c>
      <c r="E48" s="17">
        <v>2.98E-2</v>
      </c>
      <c r="F48" s="17">
        <v>3.39E-2</v>
      </c>
      <c r="G48" s="17">
        <v>1.47E-2</v>
      </c>
      <c r="H48" s="17">
        <v>2.3699999999999999E-2</v>
      </c>
      <c r="I48" s="17">
        <v>3.27E-2</v>
      </c>
      <c r="J48" s="17">
        <v>4.5499999999999999E-2</v>
      </c>
      <c r="K48" s="17">
        <v>5.8999999999999997E-2</v>
      </c>
      <c r="L48" s="17">
        <v>5.5199999999999999E-2</v>
      </c>
      <c r="M48" s="17">
        <v>0.03</v>
      </c>
      <c r="N48" s="17">
        <v>1.77</v>
      </c>
      <c r="O48" s="17">
        <v>2.0999999999999999E-3</v>
      </c>
      <c r="P48" s="17">
        <v>1.27</v>
      </c>
      <c r="Q48" s="17">
        <v>0.68</v>
      </c>
      <c r="R48" s="17">
        <v>0.999</v>
      </c>
      <c r="S48" s="17">
        <v>0.9</v>
      </c>
      <c r="T48" s="17">
        <v>20081231</v>
      </c>
      <c r="U48" s="17">
        <v>20190731</v>
      </c>
      <c r="V48" s="17">
        <v>128</v>
      </c>
    </row>
    <row r="49" spans="1:22">
      <c r="A49" s="17" t="s">
        <v>1935</v>
      </c>
      <c r="B49" s="17">
        <v>1.38E-2</v>
      </c>
      <c r="C49" s="34">
        <v>4.0000000000000002E-4</v>
      </c>
      <c r="D49" s="17">
        <v>1.9199999999999998E-2</v>
      </c>
      <c r="E49" s="17">
        <v>7.4000000000000003E-3</v>
      </c>
      <c r="F49" s="17">
        <v>-1.2500000000000001E-2</v>
      </c>
      <c r="G49" s="17">
        <v>-2.0500000000000001E-2</v>
      </c>
      <c r="H49" s="17">
        <v>1E-3</v>
      </c>
      <c r="I49" s="17">
        <v>3.7000000000000002E-3</v>
      </c>
      <c r="J49" s="17">
        <v>7.4999999999999997E-3</v>
      </c>
      <c r="K49" s="17">
        <v>3.1899999999999998E-2</v>
      </c>
      <c r="L49" s="17">
        <v>5.7999999999999996E-3</v>
      </c>
      <c r="M49" s="17">
        <v>5.0000000000000001E-3</v>
      </c>
      <c r="N49" s="17">
        <v>0.3</v>
      </c>
      <c r="O49" s="34">
        <v>1E-4</v>
      </c>
      <c r="P49" s="17">
        <v>0.08</v>
      </c>
      <c r="Q49" s="17">
        <v>0.04</v>
      </c>
      <c r="R49" s="17">
        <v>0.94799999999999995</v>
      </c>
      <c r="S49" s="17">
        <v>0.92</v>
      </c>
      <c r="T49" s="17">
        <v>20081231</v>
      </c>
      <c r="U49" s="17">
        <v>20190731</v>
      </c>
      <c r="V49" s="17">
        <v>128</v>
      </c>
    </row>
    <row r="50" spans="1:22">
      <c r="A50" s="17" t="s">
        <v>1936</v>
      </c>
      <c r="B50" s="34">
        <v>-8.9999999999999998E-4</v>
      </c>
      <c r="C50" s="17">
        <v>4.5999999999999999E-3</v>
      </c>
      <c r="D50" s="17">
        <v>1.6899999999999998E-2</v>
      </c>
      <c r="E50" s="17">
        <v>1.3100000000000001E-2</v>
      </c>
      <c r="F50" s="17">
        <v>-3.6700000000000003E-2</v>
      </c>
      <c r="G50" s="17">
        <v>1.03E-2</v>
      </c>
      <c r="H50" s="17">
        <v>-2.1100000000000001E-2</v>
      </c>
      <c r="I50" s="17">
        <v>1.54E-2</v>
      </c>
      <c r="J50" s="17">
        <v>2.58E-2</v>
      </c>
      <c r="K50" s="17">
        <v>9.7000000000000003E-3</v>
      </c>
      <c r="L50" s="17">
        <v>-6.3E-3</v>
      </c>
      <c r="M50" s="17">
        <v>3.0000000000000001E-3</v>
      </c>
      <c r="N50" s="17">
        <v>0.22</v>
      </c>
      <c r="O50" s="34">
        <v>8.0000000000000004E-4</v>
      </c>
      <c r="P50" s="17">
        <v>0.69</v>
      </c>
      <c r="Q50" s="17">
        <v>0.19</v>
      </c>
      <c r="R50" s="17">
        <v>0.94799999999999995</v>
      </c>
      <c r="S50" s="17">
        <v>0.43</v>
      </c>
      <c r="T50" s="17">
        <v>20081231</v>
      </c>
      <c r="U50" s="17">
        <v>20190731</v>
      </c>
      <c r="V50" s="17">
        <v>128</v>
      </c>
    </row>
    <row r="51" spans="1:22">
      <c r="A51" s="17" t="s">
        <v>1940</v>
      </c>
      <c r="B51" s="17">
        <v>1.7399999999999999E-2</v>
      </c>
      <c r="C51" s="17">
        <v>1.34E-2</v>
      </c>
      <c r="D51" s="17">
        <v>-2.8299999999999999E-2</v>
      </c>
      <c r="E51" s="17">
        <v>-2.7E-2</v>
      </c>
      <c r="F51" s="17">
        <v>2.4299999999999999E-2</v>
      </c>
      <c r="G51" s="17">
        <v>-2.8000000000000001E-2</v>
      </c>
      <c r="H51" s="17">
        <v>-1.6899999999999998E-2</v>
      </c>
      <c r="I51" s="34">
        <v>4.0000000000000002E-4</v>
      </c>
      <c r="J51" s="17">
        <v>-8.8000000000000005E-3</v>
      </c>
      <c r="K51" s="17">
        <v>1.5599999999999999E-2</v>
      </c>
      <c r="L51" s="17">
        <v>3.2000000000000002E-3</v>
      </c>
      <c r="M51" s="17">
        <v>-3.0000000000000001E-3</v>
      </c>
      <c r="N51" s="17">
        <v>-0.19</v>
      </c>
      <c r="O51" s="17">
        <v>0</v>
      </c>
      <c r="P51" s="17">
        <v>-0.02</v>
      </c>
      <c r="Q51" s="17">
        <v>0.02</v>
      </c>
      <c r="R51" s="17">
        <v>0.94399999999999995</v>
      </c>
      <c r="S51" s="17">
        <v>0.95</v>
      </c>
      <c r="T51" s="17">
        <v>20081231</v>
      </c>
      <c r="U51" s="17">
        <v>20190731</v>
      </c>
      <c r="V51" s="17">
        <v>128</v>
      </c>
    </row>
    <row r="52" spans="1:22">
      <c r="A52" s="17" t="s">
        <v>1945</v>
      </c>
      <c r="B52" s="17">
        <v>1.9900000000000001E-2</v>
      </c>
      <c r="C52" s="17">
        <v>1.5900000000000001E-2</v>
      </c>
      <c r="D52" s="17">
        <v>1.1999999999999999E-3</v>
      </c>
      <c r="E52" s="17">
        <v>2.06E-2</v>
      </c>
      <c r="F52" s="17">
        <v>1.11E-2</v>
      </c>
      <c r="G52" s="17">
        <v>1.3100000000000001E-2</v>
      </c>
      <c r="H52" s="17">
        <v>0.03</v>
      </c>
      <c r="I52" s="17">
        <v>-1.89E-2</v>
      </c>
      <c r="J52" s="17">
        <v>-7.7999999999999996E-3</v>
      </c>
      <c r="K52" s="17">
        <v>5.1999999999999998E-3</v>
      </c>
      <c r="L52" s="17">
        <v>-2.2499999999999999E-2</v>
      </c>
      <c r="M52" s="17">
        <v>7.0000000000000001E-3</v>
      </c>
      <c r="N52" s="17">
        <v>0.47</v>
      </c>
      <c r="O52" s="34">
        <v>1E-4</v>
      </c>
      <c r="P52" s="17">
        <v>7.0000000000000007E-2</v>
      </c>
      <c r="Q52" s="17">
        <v>0.03</v>
      </c>
      <c r="R52" s="17">
        <v>0.94299999999999995</v>
      </c>
      <c r="S52" s="17">
        <v>0.64</v>
      </c>
      <c r="T52" s="17">
        <v>20081231</v>
      </c>
      <c r="U52" s="17">
        <v>20190731</v>
      </c>
      <c r="V52" s="17">
        <v>128</v>
      </c>
    </row>
    <row r="53" spans="1:22">
      <c r="A53" s="17" t="s">
        <v>1908</v>
      </c>
      <c r="B53" s="17">
        <v>1.7999999999999999E-2</v>
      </c>
      <c r="C53" s="17">
        <v>3.0700000000000002E-2</v>
      </c>
      <c r="D53" s="17">
        <v>2.7400000000000001E-2</v>
      </c>
      <c r="E53" s="17">
        <v>3.6400000000000002E-2</v>
      </c>
      <c r="F53" s="17">
        <v>3.5200000000000002E-2</v>
      </c>
      <c r="G53" s="17">
        <v>-4.2200000000000001E-2</v>
      </c>
      <c r="H53" s="17">
        <v>6.13E-2</v>
      </c>
      <c r="I53" s="17">
        <v>3.5900000000000001E-2</v>
      </c>
      <c r="J53" s="17">
        <v>6.5299999999999997E-2</v>
      </c>
      <c r="K53" s="17">
        <v>2.5000000000000001E-2</v>
      </c>
      <c r="L53" s="17">
        <v>2.2800000000000001E-2</v>
      </c>
      <c r="M53" s="17">
        <v>2.9000000000000001E-2</v>
      </c>
      <c r="N53" s="17">
        <v>1.1299999999999999</v>
      </c>
      <c r="O53" s="17">
        <v>1.6999999999999999E-3</v>
      </c>
      <c r="P53" s="17">
        <v>0.63</v>
      </c>
      <c r="Q53" s="17">
        <v>0.61</v>
      </c>
      <c r="R53" s="17">
        <v>0.99299999999999999</v>
      </c>
      <c r="S53" s="17">
        <v>0.97</v>
      </c>
      <c r="T53" s="17">
        <v>20081231</v>
      </c>
      <c r="U53" s="17">
        <v>20190731</v>
      </c>
      <c r="V53" s="17">
        <v>128</v>
      </c>
    </row>
    <row r="54" spans="1:22">
      <c r="A54" s="17" t="s">
        <v>1909</v>
      </c>
      <c r="B54" s="17">
        <v>3.7400000000000003E-2</v>
      </c>
      <c r="C54" s="17">
        <v>0.05</v>
      </c>
      <c r="D54" s="17">
        <v>3.4599999999999999E-2</v>
      </c>
      <c r="E54" s="17">
        <v>5.2600000000000001E-2</v>
      </c>
      <c r="F54" s="17">
        <v>3.8300000000000001E-2</v>
      </c>
      <c r="G54" s="17">
        <v>-2.29E-2</v>
      </c>
      <c r="H54" s="17">
        <v>6.4299999999999996E-2</v>
      </c>
      <c r="I54" s="17">
        <v>4.5100000000000001E-2</v>
      </c>
      <c r="J54" s="17">
        <v>7.1099999999999997E-2</v>
      </c>
      <c r="K54" s="17">
        <v>4.6100000000000002E-2</v>
      </c>
      <c r="L54" s="17">
        <v>3.9300000000000002E-2</v>
      </c>
      <c r="M54" s="17">
        <v>4.2000000000000003E-2</v>
      </c>
      <c r="N54" s="17">
        <v>1.77</v>
      </c>
      <c r="O54" s="17">
        <v>2.8999999999999998E-3</v>
      </c>
      <c r="P54" s="17">
        <v>1.1299999999999999</v>
      </c>
      <c r="Q54" s="17">
        <v>0.99</v>
      </c>
      <c r="R54" s="17">
        <v>0.999</v>
      </c>
      <c r="S54" s="17">
        <v>0.86</v>
      </c>
      <c r="T54" s="17">
        <v>20081231</v>
      </c>
      <c r="U54" s="17">
        <v>20190731</v>
      </c>
      <c r="V54" s="17">
        <v>128</v>
      </c>
    </row>
    <row r="55" spans="1:22">
      <c r="A55" s="17" t="s">
        <v>1910</v>
      </c>
      <c r="B55" s="17">
        <v>1.8700000000000001E-2</v>
      </c>
      <c r="C55" s="17">
        <v>4.1300000000000003E-2</v>
      </c>
      <c r="D55" s="17">
        <v>2.87E-2</v>
      </c>
      <c r="E55" s="17">
        <v>3.9800000000000002E-2</v>
      </c>
      <c r="F55" s="17">
        <v>2.5999999999999999E-2</v>
      </c>
      <c r="G55" s="17">
        <v>-4.3799999999999999E-2</v>
      </c>
      <c r="H55" s="17">
        <v>5.79E-2</v>
      </c>
      <c r="I55" s="17">
        <v>3.6400000000000002E-2</v>
      </c>
      <c r="J55" s="17">
        <v>8.5000000000000006E-2</v>
      </c>
      <c r="K55" s="17">
        <v>1.8499999999999999E-2</v>
      </c>
      <c r="L55" s="17">
        <v>2.7400000000000001E-2</v>
      </c>
      <c r="M55" s="17">
        <v>3.1E-2</v>
      </c>
      <c r="N55" s="17">
        <v>1.1200000000000001</v>
      </c>
      <c r="O55" s="17">
        <v>2.0999999999999999E-3</v>
      </c>
      <c r="P55" s="17">
        <v>0.74</v>
      </c>
      <c r="Q55" s="17">
        <v>0.68</v>
      </c>
      <c r="R55" s="17">
        <v>0.99299999999999999</v>
      </c>
      <c r="S55" s="17">
        <v>0.96</v>
      </c>
      <c r="T55" s="17">
        <v>20081231</v>
      </c>
      <c r="U55" s="17">
        <v>20190731</v>
      </c>
      <c r="V55" s="17">
        <v>128</v>
      </c>
    </row>
    <row r="56" spans="1:22">
      <c r="A56" s="17" t="s">
        <v>1911</v>
      </c>
      <c r="B56" s="17">
        <v>3.7199999999999997E-2</v>
      </c>
      <c r="C56" s="17">
        <v>6.5299999999999997E-2</v>
      </c>
      <c r="D56" s="17">
        <v>4.36E-2</v>
      </c>
      <c r="E56" s="17">
        <v>5.4899999999999997E-2</v>
      </c>
      <c r="F56" s="17">
        <v>3.6600000000000001E-2</v>
      </c>
      <c r="G56" s="17">
        <v>-2.5499999999999998E-2</v>
      </c>
      <c r="H56" s="17">
        <v>6.4399999999999999E-2</v>
      </c>
      <c r="I56" s="17">
        <v>4.9099999999999998E-2</v>
      </c>
      <c r="J56" s="17">
        <v>8.8400000000000006E-2</v>
      </c>
      <c r="K56" s="17">
        <v>4.48E-2</v>
      </c>
      <c r="L56" s="17">
        <v>4.5699999999999998E-2</v>
      </c>
      <c r="M56" s="17">
        <v>4.5999999999999999E-2</v>
      </c>
      <c r="N56" s="17">
        <v>1.78</v>
      </c>
      <c r="O56" s="17">
        <v>3.3999999999999998E-3</v>
      </c>
      <c r="P56" s="17">
        <v>1.3</v>
      </c>
      <c r="Q56" s="17">
        <v>1.1100000000000001</v>
      </c>
      <c r="R56" s="17">
        <v>0.999</v>
      </c>
      <c r="S56" s="17">
        <v>0.82</v>
      </c>
      <c r="T56" s="17">
        <v>20081231</v>
      </c>
      <c r="U56" s="17">
        <v>20190731</v>
      </c>
      <c r="V56" s="17">
        <v>128</v>
      </c>
    </row>
    <row r="57" spans="1:22">
      <c r="A57" s="17" t="s">
        <v>1912</v>
      </c>
      <c r="B57" s="17">
        <v>3.5999999999999997E-2</v>
      </c>
      <c r="C57" s="17">
        <v>4.7699999999999999E-2</v>
      </c>
      <c r="D57" s="17">
        <v>2.4500000000000001E-2</v>
      </c>
      <c r="E57" s="17">
        <v>3.3099999999999997E-2</v>
      </c>
      <c r="F57" s="17">
        <v>4.0899999999999999E-2</v>
      </c>
      <c r="G57" s="17">
        <v>-4.6800000000000001E-2</v>
      </c>
      <c r="H57" s="17">
        <v>0.06</v>
      </c>
      <c r="I57" s="17">
        <v>3.0499999999999999E-2</v>
      </c>
      <c r="J57" s="17">
        <v>7.85E-2</v>
      </c>
      <c r="K57" s="17">
        <v>2.0799999999999999E-2</v>
      </c>
      <c r="L57" s="17">
        <v>3.27E-2</v>
      </c>
      <c r="M57" s="17">
        <v>3.3000000000000002E-2</v>
      </c>
      <c r="N57" s="17">
        <v>1.24</v>
      </c>
      <c r="O57" s="17">
        <v>2E-3</v>
      </c>
      <c r="P57" s="17">
        <v>0.75</v>
      </c>
      <c r="Q57" s="17">
        <v>0.74</v>
      </c>
      <c r="R57" s="17">
        <v>0.94599999999999995</v>
      </c>
      <c r="S57" s="17">
        <v>0.89</v>
      </c>
      <c r="T57" s="17">
        <v>20081231</v>
      </c>
      <c r="U57" s="17">
        <v>20190731</v>
      </c>
      <c r="V57" s="17">
        <v>128</v>
      </c>
    </row>
    <row r="58" spans="1:22">
      <c r="A58" s="17" t="s">
        <v>1913</v>
      </c>
      <c r="B58" s="17">
        <v>2.6599999999999999E-2</v>
      </c>
      <c r="C58" s="17">
        <v>-2.0799999999999999E-2</v>
      </c>
      <c r="D58" s="34">
        <v>-5.9999999999999995E-4</v>
      </c>
      <c r="E58" s="17">
        <v>7.1000000000000004E-3</v>
      </c>
      <c r="F58" s="17">
        <v>-1.6400000000000001E-2</v>
      </c>
      <c r="G58" s="17">
        <v>8.4500000000000006E-2</v>
      </c>
      <c r="H58" s="17">
        <v>-3.2500000000000001E-2</v>
      </c>
      <c r="I58" s="17">
        <v>1.2999999999999999E-3</v>
      </c>
      <c r="J58" s="17">
        <v>-4.99E-2</v>
      </c>
      <c r="K58" s="17">
        <v>-9.5999999999999992E-3</v>
      </c>
      <c r="L58" s="17">
        <v>-0.02</v>
      </c>
      <c r="M58" s="17">
        <v>-2E-3</v>
      </c>
      <c r="N58" s="17">
        <v>-7.0000000000000007E-2</v>
      </c>
      <c r="O58" s="34">
        <v>-8.0000000000000004E-4</v>
      </c>
      <c r="P58" s="17">
        <v>-0.33</v>
      </c>
      <c r="Q58" s="17">
        <v>-0.38</v>
      </c>
      <c r="R58" s="17">
        <v>0.93799999999999994</v>
      </c>
      <c r="S58" s="17">
        <v>0.99</v>
      </c>
      <c r="T58" s="17">
        <v>20081231</v>
      </c>
      <c r="U58" s="17">
        <v>20190731</v>
      </c>
      <c r="V58" s="17">
        <v>128</v>
      </c>
    </row>
    <row r="59" spans="1:22">
      <c r="A59" s="17" t="s">
        <v>1914</v>
      </c>
      <c r="B59" s="17">
        <v>2.29E-2</v>
      </c>
      <c r="C59" s="17">
        <v>1.89E-2</v>
      </c>
      <c r="D59" s="17">
        <v>-1.6199999999999999E-2</v>
      </c>
      <c r="E59" s="17">
        <v>2.2000000000000001E-3</v>
      </c>
      <c r="F59" s="17">
        <v>1.7000000000000001E-2</v>
      </c>
      <c r="G59" s="17">
        <v>-2.86E-2</v>
      </c>
      <c r="H59" s="17">
        <v>1.0800000000000001E-2</v>
      </c>
      <c r="I59" s="17">
        <v>1.4800000000000001E-2</v>
      </c>
      <c r="J59" s="17">
        <v>-2.8E-3</v>
      </c>
      <c r="K59" s="17">
        <v>5.3E-3</v>
      </c>
      <c r="L59" s="17">
        <v>-7.0000000000000001E-3</v>
      </c>
      <c r="M59" s="17">
        <v>4.0000000000000001E-3</v>
      </c>
      <c r="N59" s="17">
        <v>0.24</v>
      </c>
      <c r="O59" s="34">
        <v>2.9999999999999997E-4</v>
      </c>
      <c r="P59" s="17">
        <v>0.23</v>
      </c>
      <c r="Q59" s="17">
        <v>7.0000000000000007E-2</v>
      </c>
      <c r="R59" s="17">
        <v>0.999</v>
      </c>
      <c r="S59" s="17">
        <v>0.87</v>
      </c>
      <c r="T59" s="17">
        <v>20081231</v>
      </c>
      <c r="U59" s="17">
        <v>20190731</v>
      </c>
      <c r="V59" s="17">
        <v>128</v>
      </c>
    </row>
    <row r="60" spans="1:22">
      <c r="A60" s="17" t="s">
        <v>1915</v>
      </c>
      <c r="B60" s="17">
        <v>2E-3</v>
      </c>
      <c r="C60" s="17">
        <v>4.1300000000000003E-2</v>
      </c>
      <c r="D60" s="17">
        <v>1.8200000000000001E-2</v>
      </c>
      <c r="E60" s="17">
        <v>2.5499999999999998E-2</v>
      </c>
      <c r="F60" s="17">
        <v>1.5599999999999999E-2</v>
      </c>
      <c r="G60" s="17">
        <v>1.01E-2</v>
      </c>
      <c r="H60" s="17">
        <v>1.2699999999999999E-2</v>
      </c>
      <c r="I60" s="17">
        <v>1.11E-2</v>
      </c>
      <c r="J60" s="17">
        <v>2.8299999999999999E-2</v>
      </c>
      <c r="K60" s="17">
        <v>1.4999999999999999E-2</v>
      </c>
      <c r="L60" s="17">
        <v>2.3400000000000001E-2</v>
      </c>
      <c r="M60" s="17">
        <v>1.7999999999999999E-2</v>
      </c>
      <c r="N60" s="17">
        <v>1.47</v>
      </c>
      <c r="O60" s="17">
        <v>1.6999999999999999E-3</v>
      </c>
      <c r="P60" s="17">
        <v>1.38</v>
      </c>
      <c r="Q60" s="17">
        <v>0.5</v>
      </c>
      <c r="R60" s="17">
        <v>0.91800000000000004</v>
      </c>
      <c r="S60" s="17">
        <v>0.89</v>
      </c>
      <c r="T60" s="17">
        <v>20081231</v>
      </c>
      <c r="U60" s="17">
        <v>20190731</v>
      </c>
      <c r="V60" s="17">
        <v>128</v>
      </c>
    </row>
    <row r="61" spans="1:22">
      <c r="A61" s="17" t="s">
        <v>1916</v>
      </c>
      <c r="B61" s="17">
        <v>1.7999999999999999E-2</v>
      </c>
      <c r="C61" s="17">
        <v>2.8999999999999998E-3</v>
      </c>
      <c r="D61" s="17">
        <v>-1.06E-2</v>
      </c>
      <c r="E61" s="17">
        <v>2.3599999999999999E-2</v>
      </c>
      <c r="F61" s="34">
        <v>-4.0000000000000002E-4</v>
      </c>
      <c r="G61" s="17">
        <v>-2.7699999999999999E-2</v>
      </c>
      <c r="H61" s="17">
        <v>2.4199999999999999E-2</v>
      </c>
      <c r="I61" s="17">
        <v>2.7000000000000001E-3</v>
      </c>
      <c r="J61" s="17">
        <v>8.6E-3</v>
      </c>
      <c r="K61" s="17">
        <v>-2.47E-2</v>
      </c>
      <c r="L61" s="17">
        <v>3.5000000000000001E-3</v>
      </c>
      <c r="M61" s="17">
        <v>2E-3</v>
      </c>
      <c r="N61" s="17">
        <v>0.1</v>
      </c>
      <c r="O61" s="34">
        <v>2.0000000000000001E-4</v>
      </c>
      <c r="P61" s="17">
        <v>0.1</v>
      </c>
      <c r="Q61" s="17">
        <v>0.03</v>
      </c>
      <c r="R61" s="17">
        <v>0.996</v>
      </c>
      <c r="S61" s="17">
        <v>0.98</v>
      </c>
      <c r="T61" s="17">
        <v>20081231</v>
      </c>
      <c r="U61" s="17">
        <v>20190731</v>
      </c>
      <c r="V61" s="17">
        <v>128</v>
      </c>
    </row>
    <row r="62" spans="1:22">
      <c r="A62" s="17" t="s">
        <v>1946</v>
      </c>
      <c r="B62" s="17">
        <v>5.1999999999999998E-3</v>
      </c>
      <c r="C62" s="17">
        <v>-8.6999999999999994E-3</v>
      </c>
      <c r="D62" s="17">
        <v>-6.1999999999999998E-3</v>
      </c>
      <c r="E62" s="17">
        <v>1.06E-2</v>
      </c>
      <c r="F62" s="17">
        <v>5.4000000000000003E-3</v>
      </c>
      <c r="G62" s="17">
        <v>-3.7000000000000002E-3</v>
      </c>
      <c r="H62" s="17">
        <v>1.9699999999999999E-2</v>
      </c>
      <c r="I62" s="17">
        <v>3.04E-2</v>
      </c>
      <c r="J62" s="17">
        <v>4.1700000000000001E-2</v>
      </c>
      <c r="K62" s="17">
        <v>2.3699999999999999E-2</v>
      </c>
      <c r="L62" s="17">
        <v>2.1399999999999999E-2</v>
      </c>
      <c r="M62" s="17">
        <v>1.2E-2</v>
      </c>
      <c r="N62" s="17">
        <v>0.72</v>
      </c>
      <c r="O62" s="34">
        <v>6.9999999999999999E-4</v>
      </c>
      <c r="P62" s="17">
        <v>0.4</v>
      </c>
      <c r="Q62" s="17">
        <v>0.23</v>
      </c>
      <c r="R62" s="17">
        <v>0.999</v>
      </c>
      <c r="S62" s="17">
        <v>0.98</v>
      </c>
      <c r="T62" s="17">
        <v>20081231</v>
      </c>
      <c r="U62" s="17">
        <v>20190731</v>
      </c>
      <c r="V62" s="17">
        <v>128</v>
      </c>
    </row>
    <row r="63" spans="1:22">
      <c r="A63" s="17" t="s">
        <v>1947</v>
      </c>
      <c r="B63" s="17">
        <v>-1.6500000000000001E-2</v>
      </c>
      <c r="C63" s="17">
        <v>-5.4000000000000003E-3</v>
      </c>
      <c r="D63" s="17">
        <v>2.9899999999999999E-2</v>
      </c>
      <c r="E63" s="17">
        <v>2.3300000000000001E-2</v>
      </c>
      <c r="F63" s="17">
        <v>1.55E-2</v>
      </c>
      <c r="G63" s="17">
        <v>-1.0800000000000001E-2</v>
      </c>
      <c r="H63" s="17">
        <v>1.1900000000000001E-2</v>
      </c>
      <c r="I63" s="17">
        <v>1.7999999999999999E-2</v>
      </c>
      <c r="J63" s="17">
        <v>1.38E-2</v>
      </c>
      <c r="K63" s="17">
        <v>2.1000000000000001E-2</v>
      </c>
      <c r="L63" s="17">
        <v>2.1999999999999999E-2</v>
      </c>
      <c r="M63" s="17">
        <v>1.0999999999999999E-2</v>
      </c>
      <c r="N63" s="17">
        <v>0.83</v>
      </c>
      <c r="O63" s="34">
        <v>8.0000000000000004E-4</v>
      </c>
      <c r="P63" s="17">
        <v>0.66</v>
      </c>
      <c r="Q63" s="17">
        <v>0.26</v>
      </c>
      <c r="R63" s="17">
        <v>0.999</v>
      </c>
      <c r="S63" s="17">
        <v>0.72</v>
      </c>
      <c r="T63" s="17">
        <v>20081231</v>
      </c>
      <c r="U63" s="17">
        <v>20190731</v>
      </c>
      <c r="V63" s="17">
        <v>128</v>
      </c>
    </row>
    <row r="64" spans="1:22">
      <c r="A64" s="17" t="s">
        <v>1917</v>
      </c>
      <c r="B64" s="17">
        <v>-2.24E-2</v>
      </c>
      <c r="C64" s="34">
        <v>-5.0000000000000001E-4</v>
      </c>
      <c r="D64" s="34">
        <v>-2.0000000000000001E-4</v>
      </c>
      <c r="E64" s="17">
        <v>6.8999999999999999E-3</v>
      </c>
      <c r="F64" s="17">
        <v>1.7999999999999999E-2</v>
      </c>
      <c r="G64" s="17">
        <v>-7.6300000000000007E-2</v>
      </c>
      <c r="H64" s="17">
        <v>-2.12E-2</v>
      </c>
      <c r="I64" s="17">
        <v>-0.04</v>
      </c>
      <c r="J64" s="17">
        <v>2.9000000000000001E-2</v>
      </c>
      <c r="K64" s="17">
        <v>2.9899999999999999E-2</v>
      </c>
      <c r="L64" s="17">
        <v>3.6400000000000002E-2</v>
      </c>
      <c r="M64" s="17">
        <v>-5.0000000000000001E-3</v>
      </c>
      <c r="N64" s="17">
        <v>-0.2</v>
      </c>
      <c r="O64" s="34">
        <v>-2.0000000000000001E-4</v>
      </c>
      <c r="P64" s="17">
        <v>-0.08</v>
      </c>
      <c r="Q64" s="17">
        <v>0.13</v>
      </c>
      <c r="R64" s="17">
        <v>0.999</v>
      </c>
      <c r="S64" s="17">
        <v>0.97</v>
      </c>
      <c r="T64" s="17">
        <v>20081231</v>
      </c>
      <c r="U64" s="17">
        <v>20190731</v>
      </c>
      <c r="V64" s="17">
        <v>128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8"/>
  <sheetViews>
    <sheetView workbookViewId="0">
      <selection activeCell="G18" sqref="G18"/>
    </sheetView>
  </sheetViews>
  <sheetFormatPr defaultRowHeight="14.25"/>
  <cols>
    <col min="2" max="2" width="30" customWidth="1"/>
    <col min="3" max="3" width="18.125" bestFit="1" customWidth="1"/>
    <col min="4" max="5" width="9" style="35"/>
    <col min="7" max="7" width="33.625" style="9" customWidth="1"/>
    <col min="9" max="9" width="11" customWidth="1"/>
    <col min="10" max="10" width="11.5" customWidth="1"/>
    <col min="11" max="11" width="15.375" style="35" customWidth="1"/>
    <col min="12" max="12" width="17.5" style="35" customWidth="1"/>
  </cols>
  <sheetData>
    <row r="1" spans="1:12">
      <c r="A1" t="s">
        <v>2050</v>
      </c>
      <c r="B1" t="s">
        <v>1798</v>
      </c>
      <c r="C1" t="s">
        <v>2051</v>
      </c>
      <c r="D1" t="s">
        <v>2052</v>
      </c>
      <c r="E1" t="s">
        <v>2053</v>
      </c>
      <c r="F1" t="s">
        <v>2054</v>
      </c>
      <c r="G1" t="s">
        <v>2055</v>
      </c>
      <c r="I1" s="69" t="s">
        <v>2248</v>
      </c>
      <c r="J1" t="s">
        <v>2251</v>
      </c>
      <c r="K1" s="35" t="s">
        <v>2253</v>
      </c>
      <c r="L1" s="35" t="s">
        <v>2254</v>
      </c>
    </row>
    <row r="2" spans="1:12">
      <c r="A2" t="s">
        <v>1850</v>
      </c>
      <c r="B2" t="s">
        <v>1856</v>
      </c>
      <c r="C2" t="s">
        <v>1860</v>
      </c>
      <c r="D2" s="35">
        <v>2.9000000000000001E-2</v>
      </c>
      <c r="F2" t="s">
        <v>1853</v>
      </c>
      <c r="I2" s="70" t="s">
        <v>1776</v>
      </c>
      <c r="J2" s="72">
        <v>63</v>
      </c>
      <c r="K2" s="35">
        <v>3.4885245901639335E-2</v>
      </c>
    </row>
    <row r="3" spans="1:12">
      <c r="A3" t="s">
        <v>1850</v>
      </c>
      <c r="B3" t="s">
        <v>1856</v>
      </c>
      <c r="C3" t="s">
        <v>66</v>
      </c>
      <c r="D3" s="35">
        <v>3.3000000000000002E-2</v>
      </c>
      <c r="E3" s="35">
        <v>4.7E-2</v>
      </c>
      <c r="F3" t="s">
        <v>1858</v>
      </c>
      <c r="I3" s="70" t="s">
        <v>712</v>
      </c>
      <c r="J3" s="72">
        <v>29</v>
      </c>
      <c r="K3" s="35">
        <v>3.3172413793103463E-2</v>
      </c>
    </row>
    <row r="4" spans="1:12">
      <c r="A4" t="s">
        <v>2056</v>
      </c>
      <c r="B4" t="s">
        <v>2057</v>
      </c>
      <c r="C4" t="s">
        <v>2058</v>
      </c>
      <c r="D4" s="35">
        <v>2.4E-2</v>
      </c>
      <c r="E4" s="35">
        <v>3.6999999999999998E-2</v>
      </c>
      <c r="F4" t="s">
        <v>2059</v>
      </c>
      <c r="I4" s="70" t="s">
        <v>2044</v>
      </c>
      <c r="J4" s="72">
        <v>31</v>
      </c>
      <c r="K4" s="35">
        <v>3.4406451612903233E-2</v>
      </c>
      <c r="L4" s="35">
        <v>3.9912499999999997E-2</v>
      </c>
    </row>
    <row r="5" spans="1:12">
      <c r="A5" t="s">
        <v>2060</v>
      </c>
      <c r="B5" t="s">
        <v>2061</v>
      </c>
      <c r="C5" t="s">
        <v>2062</v>
      </c>
      <c r="D5" s="35">
        <v>3.7999999999999999E-2</v>
      </c>
      <c r="F5" t="s">
        <v>2063</v>
      </c>
      <c r="I5" s="70" t="s">
        <v>2249</v>
      </c>
      <c r="J5" s="72"/>
    </row>
    <row r="6" spans="1:12">
      <c r="A6" t="s">
        <v>2060</v>
      </c>
      <c r="B6" t="s">
        <v>2061</v>
      </c>
      <c r="C6" t="s">
        <v>2064</v>
      </c>
      <c r="D6" s="35">
        <v>3.5000000000000003E-2</v>
      </c>
      <c r="F6" t="s">
        <v>2065</v>
      </c>
      <c r="I6" s="70" t="s">
        <v>2250</v>
      </c>
      <c r="J6" s="72">
        <v>123</v>
      </c>
      <c r="K6" s="35">
        <v>3.4352066115702462E-2</v>
      </c>
      <c r="L6" s="35">
        <v>3.9912499999999997E-2</v>
      </c>
    </row>
    <row r="7" spans="1:12">
      <c r="A7" t="s">
        <v>2066</v>
      </c>
      <c r="B7" t="s">
        <v>2067</v>
      </c>
      <c r="C7" t="s">
        <v>2068</v>
      </c>
      <c r="D7" s="35">
        <v>1.6E-2</v>
      </c>
      <c r="F7" t="s">
        <v>2069</v>
      </c>
    </row>
    <row r="8" spans="1:12">
      <c r="A8" t="s">
        <v>2066</v>
      </c>
      <c r="B8" t="s">
        <v>2067</v>
      </c>
      <c r="C8" t="s">
        <v>2070</v>
      </c>
      <c r="D8" s="35">
        <v>0.04</v>
      </c>
      <c r="F8" t="s">
        <v>2071</v>
      </c>
      <c r="I8" s="69" t="s">
        <v>2248</v>
      </c>
      <c r="J8" t="s">
        <v>2251</v>
      </c>
      <c r="K8" s="35" t="s">
        <v>2253</v>
      </c>
      <c r="L8" s="35" t="s">
        <v>2254</v>
      </c>
    </row>
    <row r="9" spans="1:12">
      <c r="A9" t="s">
        <v>2056</v>
      </c>
      <c r="B9" t="s">
        <v>1855</v>
      </c>
      <c r="C9" t="s">
        <v>517</v>
      </c>
      <c r="D9" s="35">
        <v>3.9E-2</v>
      </c>
      <c r="F9" t="s">
        <v>1016</v>
      </c>
      <c r="I9" s="70" t="s">
        <v>1776</v>
      </c>
      <c r="J9" s="72">
        <v>63</v>
      </c>
      <c r="K9" s="35">
        <v>3.4885245901639335E-2</v>
      </c>
    </row>
    <row r="10" spans="1:12">
      <c r="A10" t="s">
        <v>2056</v>
      </c>
      <c r="B10" t="s">
        <v>1855</v>
      </c>
      <c r="C10" t="s">
        <v>628</v>
      </c>
      <c r="D10" s="35">
        <v>3.5000000000000003E-2</v>
      </c>
      <c r="E10" s="35">
        <v>4.7E-2</v>
      </c>
      <c r="F10" t="s">
        <v>1018</v>
      </c>
      <c r="G10" s="9" t="s">
        <v>1854</v>
      </c>
      <c r="I10" s="71" t="s">
        <v>2255</v>
      </c>
      <c r="J10" s="72">
        <v>11</v>
      </c>
      <c r="K10" s="35">
        <v>2.7909090909090915E-2</v>
      </c>
    </row>
    <row r="11" spans="1:12">
      <c r="A11" t="s">
        <v>2056</v>
      </c>
      <c r="B11" t="s">
        <v>1855</v>
      </c>
      <c r="C11" t="s">
        <v>519</v>
      </c>
      <c r="D11" s="35">
        <v>1.4E-2</v>
      </c>
      <c r="F11" t="s">
        <v>1016</v>
      </c>
      <c r="I11" s="71" t="s">
        <v>1823</v>
      </c>
      <c r="J11" s="72">
        <v>16</v>
      </c>
      <c r="K11" s="35">
        <v>4.0625000000000001E-2</v>
      </c>
    </row>
    <row r="12" spans="1:12">
      <c r="A12" t="s">
        <v>2056</v>
      </c>
      <c r="B12" t="s">
        <v>1855</v>
      </c>
      <c r="C12" t="s">
        <v>521</v>
      </c>
      <c r="D12" s="35">
        <v>2.8000000000000001E-2</v>
      </c>
      <c r="F12" t="s">
        <v>1799</v>
      </c>
      <c r="I12" s="71" t="s">
        <v>702</v>
      </c>
      <c r="J12" s="72">
        <v>12</v>
      </c>
      <c r="K12" s="35">
        <v>5.1999999999999991E-2</v>
      </c>
    </row>
    <row r="13" spans="1:12">
      <c r="A13" t="s">
        <v>2056</v>
      </c>
      <c r="B13" t="s">
        <v>2072</v>
      </c>
      <c r="C13" t="s">
        <v>72</v>
      </c>
      <c r="D13" s="35">
        <v>0.04</v>
      </c>
      <c r="E13" s="35">
        <v>4.2999999999999997E-2</v>
      </c>
      <c r="F13" t="s">
        <v>1018</v>
      </c>
      <c r="G13" s="9" t="s">
        <v>1857</v>
      </c>
      <c r="I13" s="71" t="s">
        <v>2256</v>
      </c>
      <c r="J13" s="72">
        <v>7</v>
      </c>
      <c r="K13" s="35">
        <v>2.4399999999999998E-2</v>
      </c>
    </row>
    <row r="14" spans="1:12">
      <c r="A14" t="s">
        <v>2056</v>
      </c>
      <c r="B14" t="s">
        <v>2072</v>
      </c>
      <c r="C14" t="s">
        <v>592</v>
      </c>
      <c r="D14" s="35">
        <v>3.5999999999999997E-2</v>
      </c>
      <c r="F14" t="s">
        <v>1016</v>
      </c>
      <c r="I14" s="71" t="s">
        <v>2257</v>
      </c>
      <c r="J14" s="72">
        <v>17</v>
      </c>
      <c r="K14" s="35">
        <v>2.5000000000000001E-2</v>
      </c>
    </row>
    <row r="15" spans="1:12">
      <c r="A15" t="s">
        <v>2056</v>
      </c>
      <c r="B15" t="s">
        <v>2072</v>
      </c>
      <c r="C15" t="s">
        <v>2073</v>
      </c>
      <c r="D15" s="35">
        <v>0.02</v>
      </c>
      <c r="F15" t="s">
        <v>2252</v>
      </c>
      <c r="I15" s="70" t="s">
        <v>712</v>
      </c>
      <c r="J15" s="72">
        <v>29</v>
      </c>
      <c r="K15" s="35">
        <v>3.3172413793103463E-2</v>
      </c>
    </row>
    <row r="16" spans="1:12">
      <c r="A16" t="s">
        <v>2074</v>
      </c>
      <c r="B16" t="s">
        <v>2075</v>
      </c>
      <c r="C16" t="s">
        <v>2076</v>
      </c>
      <c r="D16" s="35">
        <v>1.7999999999999999E-2</v>
      </c>
      <c r="F16" t="s">
        <v>2252</v>
      </c>
      <c r="I16" s="71" t="s">
        <v>2255</v>
      </c>
      <c r="J16" s="72">
        <v>19</v>
      </c>
      <c r="K16" s="35">
        <v>3.0526315789473693E-2</v>
      </c>
    </row>
    <row r="17" spans="1:12">
      <c r="A17" t="s">
        <v>2056</v>
      </c>
      <c r="B17" t="s">
        <v>2077</v>
      </c>
      <c r="C17" t="s">
        <v>2078</v>
      </c>
      <c r="D17" s="35">
        <v>2.4E-2</v>
      </c>
      <c r="F17" t="s">
        <v>2071</v>
      </c>
      <c r="I17" s="71" t="s">
        <v>702</v>
      </c>
      <c r="J17" s="72">
        <v>8</v>
      </c>
      <c r="K17" s="35">
        <v>4.0874999999999995E-2</v>
      </c>
    </row>
    <row r="18" spans="1:12">
      <c r="A18" t="s">
        <v>2060</v>
      </c>
      <c r="B18" t="s">
        <v>2079</v>
      </c>
      <c r="C18" t="s">
        <v>2080</v>
      </c>
      <c r="D18" s="35">
        <v>2.1999999999999999E-2</v>
      </c>
      <c r="F18" t="s">
        <v>2063</v>
      </c>
      <c r="I18" s="71" t="s">
        <v>2257</v>
      </c>
      <c r="J18" s="72">
        <v>2</v>
      </c>
      <c r="K18" s="35">
        <v>2.7500000000000004E-2</v>
      </c>
    </row>
    <row r="19" spans="1:12">
      <c r="A19" t="s">
        <v>2060</v>
      </c>
      <c r="B19" t="s">
        <v>2079</v>
      </c>
      <c r="C19" t="s">
        <v>2081</v>
      </c>
      <c r="D19" s="35">
        <v>3.5999999999999997E-2</v>
      </c>
      <c r="F19" t="s">
        <v>2082</v>
      </c>
      <c r="I19" s="70" t="s">
        <v>2044</v>
      </c>
      <c r="J19" s="72">
        <v>31</v>
      </c>
      <c r="K19" s="35">
        <v>3.4406451612903233E-2</v>
      </c>
      <c r="L19" s="35">
        <v>3.9912499999999997E-2</v>
      </c>
    </row>
    <row r="20" spans="1:12">
      <c r="A20" t="s">
        <v>2074</v>
      </c>
      <c r="B20" t="s">
        <v>2083</v>
      </c>
      <c r="C20" t="s">
        <v>2084</v>
      </c>
      <c r="D20" s="35">
        <v>2.7E-2</v>
      </c>
      <c r="F20" t="s">
        <v>2071</v>
      </c>
      <c r="I20" s="71" t="s">
        <v>2255</v>
      </c>
      <c r="J20" s="72">
        <v>7</v>
      </c>
      <c r="K20" s="35">
        <v>3.5285714285714288E-2</v>
      </c>
      <c r="L20" s="35">
        <v>4.2857142857142858E-2</v>
      </c>
    </row>
    <row r="21" spans="1:12">
      <c r="A21" t="s">
        <v>2060</v>
      </c>
      <c r="B21" t="s">
        <v>2079</v>
      </c>
      <c r="C21" t="s">
        <v>2085</v>
      </c>
      <c r="D21" s="35">
        <v>1.4E-2</v>
      </c>
      <c r="F21" t="s">
        <v>2071</v>
      </c>
      <c r="I21" s="71" t="s">
        <v>1823</v>
      </c>
      <c r="J21" s="72">
        <v>4</v>
      </c>
      <c r="K21" s="35">
        <v>3.925E-2</v>
      </c>
      <c r="L21" s="35">
        <v>6.0666666666666667E-2</v>
      </c>
    </row>
    <row r="22" spans="1:12">
      <c r="A22" t="s">
        <v>2060</v>
      </c>
      <c r="B22" t="s">
        <v>2079</v>
      </c>
      <c r="C22" t="s">
        <v>2086</v>
      </c>
      <c r="D22" s="35">
        <v>4.3999999999999997E-2</v>
      </c>
      <c r="E22" s="35">
        <v>0.05</v>
      </c>
      <c r="F22" t="s">
        <v>2087</v>
      </c>
      <c r="G22" s="9" t="s">
        <v>1857</v>
      </c>
      <c r="I22" s="71" t="s">
        <v>702</v>
      </c>
      <c r="J22" s="72">
        <v>6</v>
      </c>
      <c r="K22" s="35">
        <v>4.9166666666666671E-2</v>
      </c>
      <c r="L22" s="35">
        <v>0.05</v>
      </c>
    </row>
    <row r="23" spans="1:12">
      <c r="A23" t="s">
        <v>2074</v>
      </c>
      <c r="B23" t="s">
        <v>2083</v>
      </c>
      <c r="C23" t="s">
        <v>2088</v>
      </c>
      <c r="D23" s="35">
        <v>3.4000000000000002E-2</v>
      </c>
      <c r="E23" s="35">
        <v>3.5000000000000003E-2</v>
      </c>
      <c r="F23" t="s">
        <v>2087</v>
      </c>
      <c r="G23" s="9" t="s">
        <v>1857</v>
      </c>
      <c r="I23" s="71" t="s">
        <v>2256</v>
      </c>
      <c r="J23" s="72">
        <v>12</v>
      </c>
      <c r="K23" s="35">
        <v>2.7758333333333333E-2</v>
      </c>
      <c r="L23" s="35">
        <v>2.5587500000000003E-2</v>
      </c>
    </row>
    <row r="24" spans="1:12">
      <c r="A24" t="s">
        <v>2074</v>
      </c>
      <c r="B24" t="s">
        <v>2083</v>
      </c>
      <c r="C24" t="s">
        <v>2089</v>
      </c>
      <c r="D24" s="35">
        <v>3.6999999999999998E-2</v>
      </c>
      <c r="E24" s="35">
        <v>4.1000000000000002E-2</v>
      </c>
      <c r="F24" t="s">
        <v>2087</v>
      </c>
      <c r="G24" s="9" t="s">
        <v>1857</v>
      </c>
      <c r="I24" s="71" t="s">
        <v>2257</v>
      </c>
      <c r="J24" s="72">
        <v>2</v>
      </c>
      <c r="K24" s="35">
        <v>1.7250000000000001E-2</v>
      </c>
      <c r="L24" s="35">
        <v>2.12E-2</v>
      </c>
    </row>
    <row r="25" spans="1:12">
      <c r="A25" t="s">
        <v>2074</v>
      </c>
      <c r="B25" t="s">
        <v>2090</v>
      </c>
      <c r="C25" t="s">
        <v>2091</v>
      </c>
      <c r="D25" s="35">
        <v>3.5999999999999997E-2</v>
      </c>
      <c r="F25" t="s">
        <v>2063</v>
      </c>
      <c r="I25" s="70" t="s">
        <v>2249</v>
      </c>
      <c r="J25" s="72"/>
    </row>
    <row r="26" spans="1:12">
      <c r="A26" t="s">
        <v>2060</v>
      </c>
      <c r="B26" t="s">
        <v>2092</v>
      </c>
      <c r="C26" t="s">
        <v>2093</v>
      </c>
      <c r="D26" s="35">
        <v>3.5999999999999997E-2</v>
      </c>
      <c r="F26" t="s">
        <v>2094</v>
      </c>
      <c r="I26" s="71" t="s">
        <v>2249</v>
      </c>
      <c r="J26" s="72"/>
    </row>
    <row r="27" spans="1:12">
      <c r="A27" t="s">
        <v>2074</v>
      </c>
      <c r="B27" t="s">
        <v>2095</v>
      </c>
      <c r="C27" t="s">
        <v>2096</v>
      </c>
      <c r="D27" s="35">
        <v>3.2000000000000001E-2</v>
      </c>
      <c r="F27" t="s">
        <v>2063</v>
      </c>
      <c r="I27" s="70" t="s">
        <v>2250</v>
      </c>
      <c r="J27" s="72">
        <v>123</v>
      </c>
      <c r="K27" s="35">
        <v>3.4352066115702462E-2</v>
      </c>
      <c r="L27" s="35">
        <v>3.9912499999999997E-2</v>
      </c>
    </row>
    <row r="28" spans="1:12">
      <c r="A28" t="s">
        <v>2060</v>
      </c>
      <c r="B28" t="s">
        <v>2097</v>
      </c>
      <c r="C28" t="s">
        <v>2098</v>
      </c>
      <c r="D28" s="35">
        <v>2.9000000000000001E-2</v>
      </c>
      <c r="F28" t="s">
        <v>2063</v>
      </c>
    </row>
    <row r="29" spans="1:12">
      <c r="A29" t="s">
        <v>2060</v>
      </c>
      <c r="B29" t="s">
        <v>2097</v>
      </c>
      <c r="C29" t="s">
        <v>2099</v>
      </c>
      <c r="D29" s="35">
        <v>3.2000000000000001E-2</v>
      </c>
      <c r="F29" t="s">
        <v>2063</v>
      </c>
    </row>
    <row r="30" spans="1:12">
      <c r="A30" t="s">
        <v>2060</v>
      </c>
      <c r="B30" t="s">
        <v>2097</v>
      </c>
      <c r="C30" t="s">
        <v>2100</v>
      </c>
      <c r="D30" s="35">
        <v>3.1E-2</v>
      </c>
      <c r="F30" t="s">
        <v>2063</v>
      </c>
    </row>
    <row r="31" spans="1:12">
      <c r="A31" t="s">
        <v>2060</v>
      </c>
      <c r="B31" t="s">
        <v>2101</v>
      </c>
      <c r="C31" t="s">
        <v>2102</v>
      </c>
      <c r="D31" s="35">
        <v>1.9E-2</v>
      </c>
      <c r="F31" t="s">
        <v>2063</v>
      </c>
    </row>
    <row r="32" spans="1:12">
      <c r="A32" t="s">
        <v>2060</v>
      </c>
      <c r="B32" t="s">
        <v>2101</v>
      </c>
      <c r="C32" t="s">
        <v>2103</v>
      </c>
      <c r="D32" s="35">
        <v>3.9E-2</v>
      </c>
      <c r="F32" t="s">
        <v>2063</v>
      </c>
    </row>
    <row r="33" spans="1:7">
      <c r="A33" t="s">
        <v>2060</v>
      </c>
      <c r="B33" t="s">
        <v>2101</v>
      </c>
      <c r="C33" t="s">
        <v>2104</v>
      </c>
      <c r="D33" s="35">
        <v>4.9000000000000002E-2</v>
      </c>
      <c r="F33" t="s">
        <v>2063</v>
      </c>
    </row>
    <row r="34" spans="1:7">
      <c r="A34" t="s">
        <v>2060</v>
      </c>
      <c r="B34" t="s">
        <v>2101</v>
      </c>
      <c r="C34" t="s">
        <v>2105</v>
      </c>
      <c r="D34" s="35">
        <v>2.5999999999999999E-2</v>
      </c>
      <c r="F34" t="s">
        <v>2106</v>
      </c>
    </row>
    <row r="35" spans="1:7">
      <c r="A35" t="s">
        <v>2107</v>
      </c>
      <c r="B35" t="s">
        <v>2108</v>
      </c>
      <c r="C35" t="s">
        <v>2109</v>
      </c>
      <c r="D35" s="35">
        <v>3.2000000000000001E-2</v>
      </c>
      <c r="F35" t="s">
        <v>2071</v>
      </c>
    </row>
    <row r="36" spans="1:7">
      <c r="A36" t="s">
        <v>2060</v>
      </c>
      <c r="B36" t="s">
        <v>2101</v>
      </c>
      <c r="C36" t="s">
        <v>2110</v>
      </c>
      <c r="D36" s="35">
        <v>4.1000000000000002E-2</v>
      </c>
      <c r="F36" t="s">
        <v>2094</v>
      </c>
    </row>
    <row r="37" spans="1:7">
      <c r="A37" t="s">
        <v>2074</v>
      </c>
      <c r="B37" t="s">
        <v>2335</v>
      </c>
      <c r="C37" t="s">
        <v>2112</v>
      </c>
      <c r="D37" s="35">
        <v>2.3E-2</v>
      </c>
      <c r="F37" t="s">
        <v>2094</v>
      </c>
    </row>
    <row r="38" spans="1:7">
      <c r="A38" t="s">
        <v>2074</v>
      </c>
      <c r="B38" t="s">
        <v>2111</v>
      </c>
      <c r="C38" t="s">
        <v>2113</v>
      </c>
      <c r="D38" s="35">
        <v>2.5999999999999999E-2</v>
      </c>
      <c r="F38" t="s">
        <v>2063</v>
      </c>
    </row>
    <row r="39" spans="1:7" ht="42.75">
      <c r="A39" t="s">
        <v>2114</v>
      </c>
      <c r="B39" t="s">
        <v>2115</v>
      </c>
      <c r="C39" t="s">
        <v>2116</v>
      </c>
      <c r="D39" s="35">
        <v>4.5999999999999999E-2</v>
      </c>
      <c r="E39" s="35">
        <v>6.9000000000000006E-2</v>
      </c>
      <c r="F39" t="s">
        <v>2059</v>
      </c>
      <c r="G39" s="9" t="s">
        <v>1824</v>
      </c>
    </row>
    <row r="40" spans="1:7">
      <c r="A40" t="s">
        <v>2114</v>
      </c>
      <c r="B40" t="s">
        <v>2115</v>
      </c>
      <c r="C40" t="s">
        <v>2117</v>
      </c>
      <c r="D40" s="35">
        <v>5.0999999999999997E-2</v>
      </c>
      <c r="F40" t="s">
        <v>2082</v>
      </c>
    </row>
    <row r="41" spans="1:7">
      <c r="A41" t="s">
        <v>2118</v>
      </c>
      <c r="B41" t="s">
        <v>2119</v>
      </c>
      <c r="C41" t="s">
        <v>2120</v>
      </c>
      <c r="D41" s="35">
        <v>2.5999999999999999E-2</v>
      </c>
      <c r="F41" t="s">
        <v>2071</v>
      </c>
    </row>
    <row r="42" spans="1:7">
      <c r="A42" t="s">
        <v>2118</v>
      </c>
      <c r="B42" t="s">
        <v>2119</v>
      </c>
      <c r="C42" t="s">
        <v>2121</v>
      </c>
      <c r="D42" s="35">
        <v>3.5000000000000003E-2</v>
      </c>
      <c r="F42" t="s">
        <v>2069</v>
      </c>
    </row>
    <row r="43" spans="1:7">
      <c r="A43" t="s">
        <v>2118</v>
      </c>
      <c r="B43" t="s">
        <v>2119</v>
      </c>
      <c r="C43" t="s">
        <v>2122</v>
      </c>
      <c r="D43" s="35">
        <v>2.9000000000000001E-2</v>
      </c>
      <c r="F43" t="s">
        <v>2069</v>
      </c>
    </row>
    <row r="44" spans="1:7" ht="42.75">
      <c r="A44" t="s">
        <v>2118</v>
      </c>
      <c r="B44" t="s">
        <v>2119</v>
      </c>
      <c r="C44" t="s">
        <v>2123</v>
      </c>
      <c r="D44" s="35">
        <v>2.4E-2</v>
      </c>
      <c r="E44" s="35">
        <v>5.2999999999999999E-2</v>
      </c>
      <c r="F44" t="s">
        <v>2124</v>
      </c>
      <c r="G44" s="9" t="s">
        <v>1824</v>
      </c>
    </row>
    <row r="45" spans="1:7">
      <c r="A45" t="s">
        <v>2118</v>
      </c>
      <c r="B45" t="s">
        <v>2119</v>
      </c>
      <c r="C45" t="s">
        <v>2125</v>
      </c>
      <c r="D45" s="35">
        <v>2.5999999999999999E-2</v>
      </c>
      <c r="F45" t="s">
        <v>2069</v>
      </c>
    </row>
    <row r="46" spans="1:7" ht="42.75">
      <c r="A46" t="s">
        <v>2118</v>
      </c>
      <c r="B46" t="s">
        <v>2119</v>
      </c>
      <c r="C46" t="s">
        <v>2126</v>
      </c>
      <c r="D46" s="35">
        <v>2.9000000000000001E-2</v>
      </c>
      <c r="E46" s="35">
        <v>0.06</v>
      </c>
      <c r="F46" t="s">
        <v>2087</v>
      </c>
      <c r="G46" s="9" t="s">
        <v>1824</v>
      </c>
    </row>
    <row r="47" spans="1:7">
      <c r="A47" t="s">
        <v>2118</v>
      </c>
      <c r="B47" t="s">
        <v>2119</v>
      </c>
      <c r="C47" t="s">
        <v>2127</v>
      </c>
      <c r="D47" s="35">
        <v>2.7E-2</v>
      </c>
      <c r="F47" t="s">
        <v>2069</v>
      </c>
    </row>
    <row r="48" spans="1:7">
      <c r="A48" t="s">
        <v>2118</v>
      </c>
      <c r="B48" t="s">
        <v>2119</v>
      </c>
      <c r="C48" t="s">
        <v>2128</v>
      </c>
      <c r="D48" s="35">
        <v>3.9E-2</v>
      </c>
      <c r="F48" t="s">
        <v>2129</v>
      </c>
    </row>
    <row r="49" spans="1:3">
      <c r="A49" t="s">
        <v>105</v>
      </c>
      <c r="B49" t="s">
        <v>882</v>
      </c>
      <c r="C49" t="s">
        <v>2310</v>
      </c>
    </row>
    <row r="50" spans="1:3">
      <c r="A50" t="s">
        <v>105</v>
      </c>
      <c r="B50" t="s">
        <v>882</v>
      </c>
      <c r="C50" t="s">
        <v>2311</v>
      </c>
    </row>
    <row r="51" spans="1:3">
      <c r="A51" t="s">
        <v>105</v>
      </c>
      <c r="B51" t="s">
        <v>882</v>
      </c>
      <c r="C51" t="s">
        <v>2312</v>
      </c>
    </row>
    <row r="52" spans="1:3">
      <c r="A52" t="s">
        <v>105</v>
      </c>
      <c r="B52" t="s">
        <v>882</v>
      </c>
      <c r="C52" t="s">
        <v>2313</v>
      </c>
    </row>
    <row r="53" spans="1:3">
      <c r="A53" t="s">
        <v>105</v>
      </c>
      <c r="B53" t="s">
        <v>882</v>
      </c>
      <c r="C53" t="s">
        <v>2314</v>
      </c>
    </row>
    <row r="54" spans="1:3">
      <c r="A54" t="s">
        <v>105</v>
      </c>
      <c r="B54" t="s">
        <v>875</v>
      </c>
      <c r="C54" t="s">
        <v>2320</v>
      </c>
    </row>
    <row r="55" spans="1:3">
      <c r="A55" t="s">
        <v>105</v>
      </c>
      <c r="B55" t="s">
        <v>875</v>
      </c>
      <c r="C55" t="s">
        <v>2321</v>
      </c>
    </row>
    <row r="56" spans="1:3">
      <c r="A56" t="s">
        <v>105</v>
      </c>
      <c r="B56" t="s">
        <v>909</v>
      </c>
      <c r="C56" t="s">
        <v>2322</v>
      </c>
    </row>
    <row r="57" spans="1:3">
      <c r="A57" t="s">
        <v>105</v>
      </c>
      <c r="B57" t="s">
        <v>902</v>
      </c>
      <c r="C57" t="s">
        <v>2323</v>
      </c>
    </row>
    <row r="58" spans="1:3">
      <c r="A58" t="s">
        <v>105</v>
      </c>
      <c r="B58" t="s">
        <v>902</v>
      </c>
      <c r="C58" t="s">
        <v>2324</v>
      </c>
    </row>
    <row r="59" spans="1:3">
      <c r="A59" t="s">
        <v>105</v>
      </c>
      <c r="B59" t="s">
        <v>902</v>
      </c>
      <c r="C59" t="s">
        <v>2325</v>
      </c>
    </row>
    <row r="60" spans="1:3">
      <c r="A60" t="s">
        <v>105</v>
      </c>
      <c r="B60" t="s">
        <v>882</v>
      </c>
      <c r="C60" t="s">
        <v>2315</v>
      </c>
    </row>
    <row r="61" spans="1:3">
      <c r="A61" t="s">
        <v>105</v>
      </c>
      <c r="B61" t="s">
        <v>882</v>
      </c>
      <c r="C61" t="s">
        <v>2316</v>
      </c>
    </row>
    <row r="62" spans="1:3">
      <c r="A62" t="s">
        <v>105</v>
      </c>
      <c r="B62" t="s">
        <v>882</v>
      </c>
      <c r="C62" t="s">
        <v>2317</v>
      </c>
    </row>
    <row r="63" spans="1:3">
      <c r="A63" t="s">
        <v>105</v>
      </c>
      <c r="B63" t="s">
        <v>882</v>
      </c>
      <c r="C63" t="s">
        <v>2318</v>
      </c>
    </row>
    <row r="64" spans="1:3">
      <c r="A64" t="s">
        <v>105</v>
      </c>
      <c r="B64" t="s">
        <v>882</v>
      </c>
      <c r="C64" t="s">
        <v>2319</v>
      </c>
    </row>
    <row r="65" spans="1:7">
      <c r="A65" t="s">
        <v>105</v>
      </c>
      <c r="B65" t="s">
        <v>875</v>
      </c>
      <c r="C65" t="s">
        <v>2326</v>
      </c>
    </row>
    <row r="66" spans="1:7">
      <c r="A66" t="s">
        <v>105</v>
      </c>
      <c r="B66" t="s">
        <v>875</v>
      </c>
      <c r="C66" t="s">
        <v>2327</v>
      </c>
    </row>
    <row r="67" spans="1:7">
      <c r="A67" t="s">
        <v>105</v>
      </c>
      <c r="B67" t="s">
        <v>909</v>
      </c>
      <c r="C67" t="s">
        <v>2328</v>
      </c>
    </row>
    <row r="68" spans="1:7">
      <c r="A68" t="s">
        <v>105</v>
      </c>
      <c r="B68" t="s">
        <v>902</v>
      </c>
      <c r="C68" t="s">
        <v>2329</v>
      </c>
    </row>
    <row r="69" spans="1:7">
      <c r="A69" t="s">
        <v>105</v>
      </c>
      <c r="B69" t="s">
        <v>902</v>
      </c>
      <c r="C69" t="s">
        <v>2330</v>
      </c>
    </row>
    <row r="70" spans="1:7">
      <c r="A70" t="s">
        <v>105</v>
      </c>
      <c r="B70" t="s">
        <v>902</v>
      </c>
      <c r="C70" t="s">
        <v>2331</v>
      </c>
    </row>
    <row r="71" spans="1:7">
      <c r="A71" t="s">
        <v>2130</v>
      </c>
      <c r="B71" t="s">
        <v>2131</v>
      </c>
      <c r="C71" t="s">
        <v>2132</v>
      </c>
      <c r="D71" s="35">
        <v>2.9000000000000001E-2</v>
      </c>
      <c r="F71" t="s">
        <v>2129</v>
      </c>
    </row>
    <row r="72" spans="1:7">
      <c r="A72" t="s">
        <v>2130</v>
      </c>
      <c r="B72" t="s">
        <v>2131</v>
      </c>
      <c r="C72" t="s">
        <v>2133</v>
      </c>
      <c r="D72" s="35">
        <v>3.6999999999999998E-2</v>
      </c>
      <c r="F72" t="s">
        <v>2069</v>
      </c>
    </row>
    <row r="73" spans="1:7">
      <c r="A73" t="s">
        <v>2118</v>
      </c>
      <c r="B73" t="s">
        <v>2134</v>
      </c>
      <c r="C73" t="s">
        <v>2135</v>
      </c>
      <c r="D73" s="35">
        <v>3.1E-2</v>
      </c>
      <c r="F73" t="s">
        <v>2069</v>
      </c>
    </row>
    <row r="74" spans="1:7">
      <c r="A74" t="s">
        <v>2118</v>
      </c>
      <c r="B74" t="s">
        <v>2136</v>
      </c>
      <c r="C74" t="s">
        <v>2137</v>
      </c>
      <c r="D74" s="35">
        <v>4.2000000000000003E-2</v>
      </c>
      <c r="F74" t="s">
        <v>2069</v>
      </c>
    </row>
    <row r="75" spans="1:7">
      <c r="A75" t="s">
        <v>2118</v>
      </c>
      <c r="B75" t="s">
        <v>2138</v>
      </c>
      <c r="C75" t="s">
        <v>2139</v>
      </c>
      <c r="D75" s="35">
        <v>5.8000000000000003E-2</v>
      </c>
      <c r="F75" t="s">
        <v>2069</v>
      </c>
    </row>
    <row r="76" spans="1:7">
      <c r="A76" t="s">
        <v>2118</v>
      </c>
      <c r="B76" t="s">
        <v>2138</v>
      </c>
      <c r="C76" t="s">
        <v>2140</v>
      </c>
      <c r="D76" s="35">
        <v>5.2999999999999999E-2</v>
      </c>
      <c r="F76" t="s">
        <v>2069</v>
      </c>
    </row>
    <row r="77" spans="1:7">
      <c r="A77" t="s">
        <v>2118</v>
      </c>
      <c r="B77" t="s">
        <v>2138</v>
      </c>
      <c r="C77" t="s">
        <v>2141</v>
      </c>
      <c r="D77" s="35">
        <v>5.8000000000000003E-2</v>
      </c>
      <c r="F77" t="s">
        <v>2069</v>
      </c>
    </row>
    <row r="78" spans="1:7">
      <c r="A78" t="s">
        <v>2118</v>
      </c>
      <c r="B78" t="s">
        <v>2138</v>
      </c>
      <c r="C78" t="s">
        <v>2142</v>
      </c>
      <c r="D78" s="35">
        <v>5.8000000000000003E-2</v>
      </c>
      <c r="F78" t="s">
        <v>2069</v>
      </c>
    </row>
    <row r="79" spans="1:7">
      <c r="A79" t="s">
        <v>2118</v>
      </c>
      <c r="B79" t="s">
        <v>2138</v>
      </c>
      <c r="C79" t="s">
        <v>2143</v>
      </c>
      <c r="D79" s="35">
        <v>5.0999999999999997E-2</v>
      </c>
      <c r="F79" t="s">
        <v>2069</v>
      </c>
    </row>
    <row r="80" spans="1:7">
      <c r="A80" t="s">
        <v>2118</v>
      </c>
      <c r="B80" t="s">
        <v>2138</v>
      </c>
      <c r="C80" t="s">
        <v>2144</v>
      </c>
      <c r="D80" s="35">
        <v>5.8000000000000003E-2</v>
      </c>
      <c r="F80" t="s">
        <v>2124</v>
      </c>
      <c r="G80" s="9" t="s">
        <v>1825</v>
      </c>
    </row>
    <row r="81" spans="1:7">
      <c r="A81" t="s">
        <v>2145</v>
      </c>
      <c r="B81" t="s">
        <v>2146</v>
      </c>
      <c r="C81" t="s">
        <v>2147</v>
      </c>
      <c r="D81" s="35">
        <v>6.4000000000000001E-2</v>
      </c>
      <c r="F81" t="s">
        <v>2065</v>
      </c>
      <c r="G81" s="9" t="s">
        <v>1800</v>
      </c>
    </row>
    <row r="82" spans="1:7">
      <c r="A82" t="s">
        <v>2145</v>
      </c>
      <c r="B82" t="s">
        <v>2146</v>
      </c>
      <c r="C82" t="s">
        <v>2148</v>
      </c>
      <c r="D82" s="35">
        <v>9.1999999999999998E-2</v>
      </c>
      <c r="F82" t="s">
        <v>2071</v>
      </c>
    </row>
    <row r="83" spans="1:7">
      <c r="A83" t="s">
        <v>2149</v>
      </c>
      <c r="B83" t="s">
        <v>2150</v>
      </c>
      <c r="C83" t="s">
        <v>2151</v>
      </c>
      <c r="D83" s="35">
        <v>5.5E-2</v>
      </c>
      <c r="F83" t="s">
        <v>2063</v>
      </c>
      <c r="G83" s="9" t="s">
        <v>1800</v>
      </c>
    </row>
    <row r="84" spans="1:7">
      <c r="A84" t="s">
        <v>2149</v>
      </c>
      <c r="B84" t="s">
        <v>2150</v>
      </c>
      <c r="C84" t="s">
        <v>2152</v>
      </c>
      <c r="D84" s="35">
        <v>0.08</v>
      </c>
      <c r="F84" t="s">
        <v>2071</v>
      </c>
    </row>
    <row r="85" spans="1:7">
      <c r="A85" t="s">
        <v>2149</v>
      </c>
      <c r="B85" t="s">
        <v>2150</v>
      </c>
      <c r="C85" t="s">
        <v>2153</v>
      </c>
      <c r="D85" s="35">
        <v>6.0999999999999999E-2</v>
      </c>
      <c r="E85" s="35">
        <v>6.0999999999999999E-2</v>
      </c>
      <c r="F85" t="s">
        <v>2059</v>
      </c>
      <c r="G85" s="9" t="s">
        <v>1807</v>
      </c>
    </row>
    <row r="86" spans="1:7">
      <c r="A86" t="s">
        <v>2149</v>
      </c>
      <c r="B86" t="s">
        <v>2150</v>
      </c>
      <c r="C86" t="s">
        <v>2154</v>
      </c>
      <c r="D86" s="35">
        <v>7.0000000000000007E-2</v>
      </c>
      <c r="E86" s="35">
        <v>7.5999999999999998E-2</v>
      </c>
      <c r="F86" t="s">
        <v>2059</v>
      </c>
      <c r="G86" s="9" t="s">
        <v>1807</v>
      </c>
    </row>
    <row r="87" spans="1:7">
      <c r="A87" t="s">
        <v>208</v>
      </c>
      <c r="B87" t="s">
        <v>230</v>
      </c>
      <c r="C87" t="s">
        <v>2332</v>
      </c>
      <c r="D87" s="35">
        <v>6.0999999999999999E-2</v>
      </c>
      <c r="E87" s="35">
        <v>7.5999999999999998E-2</v>
      </c>
      <c r="F87" t="s">
        <v>1018</v>
      </c>
      <c r="G87" s="9" t="s">
        <v>2333</v>
      </c>
    </row>
    <row r="88" spans="1:7">
      <c r="A88" t="s">
        <v>208</v>
      </c>
      <c r="B88" t="s">
        <v>230</v>
      </c>
      <c r="C88" t="s">
        <v>2334</v>
      </c>
      <c r="D88" s="35">
        <v>7.0000000000000007E-2</v>
      </c>
      <c r="E88" s="35">
        <v>7.5999999999999998E-2</v>
      </c>
      <c r="F88" t="s">
        <v>1018</v>
      </c>
      <c r="G88" s="9" t="s">
        <v>2333</v>
      </c>
    </row>
    <row r="89" spans="1:7" ht="28.5">
      <c r="A89" t="s">
        <v>2149</v>
      </c>
      <c r="B89" t="s">
        <v>2155</v>
      </c>
      <c r="C89" t="s">
        <v>2156</v>
      </c>
      <c r="D89" s="35">
        <v>0.02</v>
      </c>
      <c r="F89" t="s">
        <v>2063</v>
      </c>
      <c r="G89" s="9" t="s">
        <v>1813</v>
      </c>
    </row>
    <row r="90" spans="1:7" ht="28.5">
      <c r="A90" t="s">
        <v>2149</v>
      </c>
      <c r="B90" t="s">
        <v>2155</v>
      </c>
      <c r="C90" t="s">
        <v>2157</v>
      </c>
      <c r="D90" s="35">
        <v>2.1999999999999999E-2</v>
      </c>
      <c r="F90" t="s">
        <v>2065</v>
      </c>
      <c r="G90" s="9" t="s">
        <v>1813</v>
      </c>
    </row>
    <row r="91" spans="1:7">
      <c r="A91" t="s">
        <v>2145</v>
      </c>
      <c r="B91" t="s">
        <v>2158</v>
      </c>
      <c r="C91" t="s">
        <v>2159</v>
      </c>
      <c r="D91" s="35">
        <v>2.1999999999999999E-2</v>
      </c>
      <c r="F91" t="s">
        <v>2063</v>
      </c>
      <c r="G91" s="9" t="s">
        <v>1814</v>
      </c>
    </row>
    <row r="92" spans="1:7">
      <c r="A92" t="s">
        <v>2149</v>
      </c>
      <c r="B92" t="s">
        <v>2155</v>
      </c>
      <c r="C92" t="s">
        <v>2160</v>
      </c>
      <c r="D92" s="35">
        <v>2.3E-2</v>
      </c>
      <c r="F92" t="s">
        <v>2063</v>
      </c>
      <c r="G92" s="9" t="s">
        <v>1814</v>
      </c>
    </row>
    <row r="93" spans="1:7" ht="28.5">
      <c r="A93" t="s">
        <v>2149</v>
      </c>
      <c r="B93" t="s">
        <v>2155</v>
      </c>
      <c r="C93" t="s">
        <v>2161</v>
      </c>
      <c r="D93" s="35">
        <v>-3.0000000000000001E-3</v>
      </c>
      <c r="E93" s="35">
        <v>0.02</v>
      </c>
      <c r="F93" t="s">
        <v>2059</v>
      </c>
      <c r="G93" s="9" t="s">
        <v>1808</v>
      </c>
    </row>
    <row r="94" spans="1:7" ht="28.5">
      <c r="A94" t="s">
        <v>2149</v>
      </c>
      <c r="B94" t="s">
        <v>2155</v>
      </c>
      <c r="C94" t="s">
        <v>2162</v>
      </c>
      <c r="D94" s="35">
        <v>-2E-3</v>
      </c>
      <c r="E94" s="35">
        <v>2.1000000000000001E-2</v>
      </c>
      <c r="F94" t="s">
        <v>2059</v>
      </c>
      <c r="G94" s="9" t="s">
        <v>1809</v>
      </c>
    </row>
    <row r="95" spans="1:7">
      <c r="A95" t="s">
        <v>2149</v>
      </c>
      <c r="B95" t="s">
        <v>2155</v>
      </c>
      <c r="C95" t="s">
        <v>2163</v>
      </c>
      <c r="D95" s="35">
        <v>6.4000000000000001E-2</v>
      </c>
      <c r="F95" t="s">
        <v>2063</v>
      </c>
      <c r="G95" s="9" t="s">
        <v>1819</v>
      </c>
    </row>
    <row r="96" spans="1:7">
      <c r="A96" t="s">
        <v>2149</v>
      </c>
      <c r="B96" t="s">
        <v>2155</v>
      </c>
      <c r="C96" t="s">
        <v>2164</v>
      </c>
      <c r="D96" s="35">
        <v>5.7000000000000002E-2</v>
      </c>
      <c r="F96" t="s">
        <v>2063</v>
      </c>
      <c r="G96" s="9" t="s">
        <v>1820</v>
      </c>
    </row>
    <row r="97" spans="1:7">
      <c r="A97" t="s">
        <v>2149</v>
      </c>
      <c r="B97" t="s">
        <v>2155</v>
      </c>
      <c r="C97" t="s">
        <v>2165</v>
      </c>
      <c r="D97" s="35">
        <v>3.0000000000000001E-3</v>
      </c>
      <c r="F97" t="s">
        <v>2071</v>
      </c>
      <c r="G97" s="9" t="s">
        <v>1821</v>
      </c>
    </row>
    <row r="98" spans="1:7">
      <c r="A98" t="s">
        <v>2149</v>
      </c>
      <c r="B98" t="s">
        <v>2155</v>
      </c>
      <c r="C98" t="s">
        <v>2166</v>
      </c>
      <c r="D98" s="35">
        <v>6.0000000000000001E-3</v>
      </c>
      <c r="F98" t="s">
        <v>2071</v>
      </c>
    </row>
    <row r="99" spans="1:7">
      <c r="A99" t="s">
        <v>2149</v>
      </c>
      <c r="B99" t="s">
        <v>2167</v>
      </c>
      <c r="C99" t="s">
        <v>2168</v>
      </c>
      <c r="D99" s="35">
        <v>4.1000000000000002E-2</v>
      </c>
      <c r="F99" t="s">
        <v>2069</v>
      </c>
    </row>
    <row r="100" spans="1:7" ht="29.25" customHeight="1">
      <c r="A100" t="s">
        <v>2145</v>
      </c>
      <c r="B100" t="s">
        <v>2169</v>
      </c>
      <c r="C100" t="s">
        <v>2170</v>
      </c>
      <c r="D100" s="35">
        <v>7.4999999999999997E-2</v>
      </c>
      <c r="E100" s="35">
        <v>7.1999999999999995E-2</v>
      </c>
      <c r="F100" t="s">
        <v>2124</v>
      </c>
      <c r="G100" s="9" t="s">
        <v>1812</v>
      </c>
    </row>
    <row r="101" spans="1:7">
      <c r="A101" t="s">
        <v>2145</v>
      </c>
      <c r="B101" t="s">
        <v>2169</v>
      </c>
      <c r="C101" t="s">
        <v>2171</v>
      </c>
      <c r="D101" s="35">
        <v>7.1999999999999995E-2</v>
      </c>
      <c r="F101" t="s">
        <v>2069</v>
      </c>
    </row>
    <row r="102" spans="1:7">
      <c r="A102" t="s">
        <v>2145</v>
      </c>
      <c r="B102" t="s">
        <v>2172</v>
      </c>
      <c r="C102" t="s">
        <v>2173</v>
      </c>
      <c r="D102" s="35">
        <v>4.2000000000000003E-2</v>
      </c>
      <c r="F102" t="s">
        <v>2071</v>
      </c>
      <c r="G102" s="9" t="s">
        <v>1822</v>
      </c>
    </row>
    <row r="103" spans="1:7">
      <c r="A103" t="s">
        <v>2149</v>
      </c>
      <c r="B103" t="s">
        <v>2174</v>
      </c>
      <c r="C103" t="s">
        <v>2175</v>
      </c>
      <c r="D103" s="35">
        <v>5.8999999999999997E-2</v>
      </c>
      <c r="F103" t="s">
        <v>2071</v>
      </c>
      <c r="G103" s="9" t="s">
        <v>1822</v>
      </c>
    </row>
    <row r="104" spans="1:7">
      <c r="A104" t="s">
        <v>2149</v>
      </c>
      <c r="B104" t="s">
        <v>2174</v>
      </c>
      <c r="C104" t="s">
        <v>2176</v>
      </c>
      <c r="D104" s="35">
        <v>4.1000000000000002E-2</v>
      </c>
      <c r="F104" t="s">
        <v>2071</v>
      </c>
      <c r="G104" s="9" t="s">
        <v>1822</v>
      </c>
    </row>
    <row r="105" spans="1:7">
      <c r="A105" t="s">
        <v>2149</v>
      </c>
      <c r="B105" t="s">
        <v>2177</v>
      </c>
      <c r="C105" t="s">
        <v>2178</v>
      </c>
      <c r="D105" s="35">
        <v>4.7E-2</v>
      </c>
      <c r="F105" t="s">
        <v>2082</v>
      </c>
    </row>
    <row r="106" spans="1:7">
      <c r="A106" t="s">
        <v>2179</v>
      </c>
      <c r="B106" t="s">
        <v>2180</v>
      </c>
      <c r="C106" t="s">
        <v>2181</v>
      </c>
      <c r="D106" s="35">
        <v>6.0999999999999999E-2</v>
      </c>
      <c r="F106" t="s">
        <v>2082</v>
      </c>
      <c r="G106" s="9" t="s">
        <v>1817</v>
      </c>
    </row>
    <row r="107" spans="1:7" ht="28.5">
      <c r="A107" t="s">
        <v>2179</v>
      </c>
      <c r="B107" t="s">
        <v>2180</v>
      </c>
      <c r="C107" t="s">
        <v>2182</v>
      </c>
      <c r="D107" s="35">
        <v>0.08</v>
      </c>
      <c r="F107" t="s">
        <v>2071</v>
      </c>
      <c r="G107" s="9" t="s">
        <v>1818</v>
      </c>
    </row>
    <row r="108" spans="1:7">
      <c r="A108" t="s">
        <v>2149</v>
      </c>
      <c r="B108" t="s">
        <v>2177</v>
      </c>
      <c r="C108" t="s">
        <v>2183</v>
      </c>
      <c r="D108" s="35">
        <v>9.4E-2</v>
      </c>
      <c r="F108" t="s">
        <v>2059</v>
      </c>
      <c r="G108" s="9" t="s">
        <v>1816</v>
      </c>
    </row>
    <row r="109" spans="1:7">
      <c r="A109" t="s">
        <v>2184</v>
      </c>
      <c r="B109" t="s">
        <v>2185</v>
      </c>
      <c r="C109" t="s">
        <v>2186</v>
      </c>
      <c r="D109" s="35">
        <v>4.6100000000000002E-2</v>
      </c>
      <c r="E109" s="35">
        <v>4.6699999999999998E-2</v>
      </c>
      <c r="F109" t="s">
        <v>2059</v>
      </c>
      <c r="G109" s="9" t="s">
        <v>1861</v>
      </c>
    </row>
    <row r="110" spans="1:7">
      <c r="A110" t="s">
        <v>2184</v>
      </c>
      <c r="B110" t="s">
        <v>2187</v>
      </c>
      <c r="C110" t="s">
        <v>2188</v>
      </c>
      <c r="D110" s="35">
        <v>1.9E-2</v>
      </c>
      <c r="F110" t="s">
        <v>2071</v>
      </c>
    </row>
    <row r="111" spans="1:7" ht="57">
      <c r="A111" t="s">
        <v>2184</v>
      </c>
      <c r="B111" t="s">
        <v>2189</v>
      </c>
      <c r="C111" t="s">
        <v>2190</v>
      </c>
      <c r="D111" s="35">
        <v>1.7000000000000001E-2</v>
      </c>
      <c r="E111" s="35">
        <v>1.7000000000000001E-2</v>
      </c>
      <c r="F111" t="s">
        <v>2191</v>
      </c>
      <c r="G111" s="9" t="s">
        <v>1872</v>
      </c>
    </row>
    <row r="112" spans="1:7">
      <c r="A112" t="s">
        <v>2192</v>
      </c>
      <c r="B112" t="s">
        <v>2193</v>
      </c>
      <c r="C112" t="s">
        <v>2194</v>
      </c>
      <c r="D112" s="35">
        <v>4.0000000000000001E-3</v>
      </c>
      <c r="E112" s="35">
        <v>4.0000000000000001E-3</v>
      </c>
      <c r="F112" t="s">
        <v>2191</v>
      </c>
      <c r="G112" s="9" t="s">
        <v>1862</v>
      </c>
    </row>
    <row r="113" spans="1:7">
      <c r="A113" t="s">
        <v>2192</v>
      </c>
      <c r="B113" t="s">
        <v>2193</v>
      </c>
      <c r="C113" t="s">
        <v>2195</v>
      </c>
      <c r="D113" s="35">
        <v>2.1000000000000001E-2</v>
      </c>
      <c r="E113" s="35">
        <v>2.1000000000000001E-2</v>
      </c>
      <c r="F113" t="s">
        <v>2124</v>
      </c>
      <c r="G113" s="9" t="s">
        <v>1863</v>
      </c>
    </row>
    <row r="114" spans="1:7">
      <c r="A114" t="s">
        <v>2196</v>
      </c>
      <c r="B114" t="s">
        <v>2197</v>
      </c>
      <c r="C114" t="s">
        <v>2198</v>
      </c>
      <c r="D114" s="35">
        <v>1.6E-2</v>
      </c>
      <c r="E114" s="35">
        <v>1.6E-2</v>
      </c>
      <c r="F114" t="s">
        <v>2124</v>
      </c>
      <c r="G114" s="9" t="s">
        <v>1864</v>
      </c>
    </row>
    <row r="115" spans="1:7">
      <c r="A115" t="s">
        <v>2196</v>
      </c>
      <c r="B115" t="s">
        <v>2199</v>
      </c>
      <c r="C115" t="s">
        <v>2200</v>
      </c>
      <c r="D115" s="35">
        <v>3.4000000000000002E-2</v>
      </c>
      <c r="E115" s="35">
        <v>3.4000000000000002E-2</v>
      </c>
      <c r="F115" t="s">
        <v>2124</v>
      </c>
      <c r="G115" s="9" t="s">
        <v>1865</v>
      </c>
    </row>
    <row r="116" spans="1:7">
      <c r="A116" t="s">
        <v>2196</v>
      </c>
      <c r="B116" t="s">
        <v>2199</v>
      </c>
      <c r="C116" t="s">
        <v>2201</v>
      </c>
      <c r="D116" s="35">
        <v>3.1E-2</v>
      </c>
      <c r="E116" s="35">
        <v>3.1E-2</v>
      </c>
      <c r="F116" t="s">
        <v>2124</v>
      </c>
      <c r="G116" s="9" t="s">
        <v>1866</v>
      </c>
    </row>
    <row r="117" spans="1:7">
      <c r="A117" t="s">
        <v>2196</v>
      </c>
      <c r="B117" t="s">
        <v>2199</v>
      </c>
      <c r="C117" t="s">
        <v>2202</v>
      </c>
      <c r="D117" s="35">
        <v>3.5000000000000003E-2</v>
      </c>
      <c r="E117" s="35">
        <v>3.5000000000000003E-2</v>
      </c>
      <c r="F117" t="s">
        <v>2124</v>
      </c>
      <c r="G117" s="9" t="s">
        <v>1867</v>
      </c>
    </row>
    <row r="118" spans="1:7">
      <c r="A118" t="s">
        <v>2196</v>
      </c>
      <c r="B118" t="s">
        <v>2199</v>
      </c>
      <c r="C118" t="s">
        <v>2203</v>
      </c>
      <c r="D118" s="35">
        <v>2.7E-2</v>
      </c>
      <c r="F118" t="s">
        <v>2069</v>
      </c>
    </row>
    <row r="119" spans="1:7">
      <c r="A119" t="s">
        <v>2196</v>
      </c>
      <c r="B119" t="s">
        <v>2199</v>
      </c>
      <c r="C119" t="s">
        <v>2204</v>
      </c>
      <c r="D119" s="35">
        <v>1.4E-2</v>
      </c>
      <c r="F119" t="s">
        <v>2129</v>
      </c>
    </row>
    <row r="120" spans="1:7">
      <c r="A120" t="s">
        <v>2192</v>
      </c>
      <c r="B120" t="s">
        <v>2205</v>
      </c>
      <c r="C120" t="s">
        <v>2206</v>
      </c>
      <c r="D120" s="35">
        <v>3.4000000000000002E-2</v>
      </c>
      <c r="F120" t="s">
        <v>2129</v>
      </c>
    </row>
    <row r="121" spans="1:7">
      <c r="A121" t="s">
        <v>2192</v>
      </c>
      <c r="B121" t="s">
        <v>2207</v>
      </c>
      <c r="C121" t="s">
        <v>2208</v>
      </c>
      <c r="D121" s="35" t="s">
        <v>1019</v>
      </c>
      <c r="F121" t="s">
        <v>2069</v>
      </c>
    </row>
    <row r="122" spans="1:7">
      <c r="A122" t="s">
        <v>2196</v>
      </c>
      <c r="B122" t="s">
        <v>2209</v>
      </c>
      <c r="C122" t="s">
        <v>2210</v>
      </c>
      <c r="D122" s="35" t="s">
        <v>1019</v>
      </c>
      <c r="F122" t="s">
        <v>2082</v>
      </c>
    </row>
    <row r="123" spans="1:7">
      <c r="A123" t="s">
        <v>2211</v>
      </c>
      <c r="B123" t="s">
        <v>2212</v>
      </c>
      <c r="C123" t="s">
        <v>2213</v>
      </c>
      <c r="D123" s="35">
        <v>2.8000000000000001E-2</v>
      </c>
      <c r="F123" t="s">
        <v>2069</v>
      </c>
    </row>
    <row r="124" spans="1:7">
      <c r="A124" t="s">
        <v>2196</v>
      </c>
      <c r="B124" t="s">
        <v>2214</v>
      </c>
      <c r="C124" t="s">
        <v>2215</v>
      </c>
      <c r="D124" s="35">
        <v>1.2E-2</v>
      </c>
      <c r="F124" t="s">
        <v>2124</v>
      </c>
      <c r="G124" s="9" t="s">
        <v>1868</v>
      </c>
    </row>
    <row r="125" spans="1:7">
      <c r="A125" t="s">
        <v>2196</v>
      </c>
      <c r="B125" t="s">
        <v>2214</v>
      </c>
      <c r="C125" t="s">
        <v>2216</v>
      </c>
      <c r="D125" s="35">
        <v>4.2000000000000003E-2</v>
      </c>
      <c r="F125" t="s">
        <v>2124</v>
      </c>
      <c r="G125" s="9" t="s">
        <v>1869</v>
      </c>
    </row>
    <row r="126" spans="1:7">
      <c r="A126" t="s">
        <v>2196</v>
      </c>
      <c r="B126" t="s">
        <v>2214</v>
      </c>
      <c r="C126" t="s">
        <v>2217</v>
      </c>
      <c r="D126" s="35">
        <v>3.2000000000000001E-2</v>
      </c>
      <c r="F126" t="s">
        <v>2191</v>
      </c>
      <c r="G126" s="9" t="s">
        <v>1870</v>
      </c>
    </row>
    <row r="127" spans="1:7">
      <c r="A127" t="s">
        <v>2192</v>
      </c>
      <c r="B127" t="s">
        <v>2218</v>
      </c>
      <c r="C127" t="s">
        <v>2219</v>
      </c>
      <c r="D127" s="35">
        <v>4.2999999999999997E-2</v>
      </c>
      <c r="F127" t="s">
        <v>2124</v>
      </c>
      <c r="G127" s="9" t="s">
        <v>1871</v>
      </c>
    </row>
    <row r="128" spans="1:7">
      <c r="A128" t="s">
        <v>2220</v>
      </c>
      <c r="B128" t="s">
        <v>2221</v>
      </c>
      <c r="C128" t="s">
        <v>2222</v>
      </c>
      <c r="D128" s="35">
        <v>7.0000000000000001E-3</v>
      </c>
      <c r="F128" t="s">
        <v>2069</v>
      </c>
    </row>
    <row r="129" spans="1:7">
      <c r="A129" t="s">
        <v>2220</v>
      </c>
      <c r="B129" t="s">
        <v>2221</v>
      </c>
      <c r="C129" t="s">
        <v>2223</v>
      </c>
      <c r="D129" s="35">
        <v>8.0000000000000002E-3</v>
      </c>
      <c r="F129" t="s">
        <v>2069</v>
      </c>
    </row>
    <row r="130" spans="1:7">
      <c r="A130" t="s">
        <v>2220</v>
      </c>
      <c r="B130" t="s">
        <v>2221</v>
      </c>
      <c r="C130" t="s">
        <v>2224</v>
      </c>
      <c r="D130" s="35">
        <v>2.1000000000000001E-2</v>
      </c>
      <c r="F130" t="s">
        <v>2065</v>
      </c>
      <c r="G130" s="9" t="s">
        <v>2049</v>
      </c>
    </row>
    <row r="131" spans="1:7">
      <c r="A131" t="s">
        <v>2220</v>
      </c>
      <c r="B131" t="s">
        <v>2221</v>
      </c>
      <c r="C131" t="s">
        <v>2225</v>
      </c>
      <c r="D131" s="35">
        <v>2.1000000000000001E-2</v>
      </c>
      <c r="F131" t="s">
        <v>2069</v>
      </c>
    </row>
    <row r="132" spans="1:7">
      <c r="A132" t="s">
        <v>2220</v>
      </c>
      <c r="B132" t="s">
        <v>2221</v>
      </c>
      <c r="C132" t="s">
        <v>2226</v>
      </c>
      <c r="D132" s="35">
        <v>1.4999999999999999E-2</v>
      </c>
      <c r="F132" t="s">
        <v>2069</v>
      </c>
    </row>
    <row r="133" spans="1:7">
      <c r="A133" t="s">
        <v>2220</v>
      </c>
      <c r="B133" t="s">
        <v>2221</v>
      </c>
      <c r="C133" t="s">
        <v>2227</v>
      </c>
      <c r="D133" s="35">
        <v>2.4E-2</v>
      </c>
      <c r="F133" t="s">
        <v>2069</v>
      </c>
    </row>
    <row r="134" spans="1:7">
      <c r="A134" t="s">
        <v>2220</v>
      </c>
      <c r="B134" t="s">
        <v>2221</v>
      </c>
      <c r="C134" t="s">
        <v>2228</v>
      </c>
      <c r="D134" s="35">
        <v>2.7E-2</v>
      </c>
      <c r="F134" t="s">
        <v>2069</v>
      </c>
    </row>
    <row r="135" spans="1:7">
      <c r="A135" t="s">
        <v>2220</v>
      </c>
      <c r="B135" t="s">
        <v>2229</v>
      </c>
      <c r="C135" t="s">
        <v>2230</v>
      </c>
      <c r="D135" s="35">
        <v>3.5000000000000003E-2</v>
      </c>
      <c r="F135" t="s">
        <v>2069</v>
      </c>
    </row>
    <row r="136" spans="1:7">
      <c r="A136" t="s">
        <v>2220</v>
      </c>
      <c r="B136" t="s">
        <v>2231</v>
      </c>
      <c r="C136" t="s">
        <v>2232</v>
      </c>
      <c r="D136" s="35">
        <v>1.6E-2</v>
      </c>
      <c r="F136" t="s">
        <v>2124</v>
      </c>
      <c r="G136" s="9" t="s">
        <v>2048</v>
      </c>
    </row>
    <row r="137" spans="1:7">
      <c r="A137" t="s">
        <v>2220</v>
      </c>
      <c r="B137" t="s">
        <v>2231</v>
      </c>
      <c r="C137" t="s">
        <v>2233</v>
      </c>
      <c r="D137" s="35">
        <v>0.02</v>
      </c>
      <c r="F137" t="s">
        <v>2069</v>
      </c>
    </row>
    <row r="138" spans="1:7">
      <c r="A138" t="s">
        <v>2220</v>
      </c>
      <c r="B138" t="s">
        <v>2231</v>
      </c>
      <c r="C138" t="s">
        <v>2234</v>
      </c>
      <c r="D138" s="35">
        <v>2.3E-2</v>
      </c>
      <c r="F138" t="s">
        <v>2069</v>
      </c>
    </row>
    <row r="139" spans="1:7">
      <c r="A139" t="s">
        <v>2220</v>
      </c>
      <c r="B139" t="s">
        <v>2231</v>
      </c>
      <c r="C139" t="s">
        <v>2235</v>
      </c>
      <c r="D139" s="35">
        <v>2.8000000000000001E-2</v>
      </c>
      <c r="F139" t="s">
        <v>2069</v>
      </c>
    </row>
    <row r="140" spans="1:7">
      <c r="A140" t="s">
        <v>2220</v>
      </c>
      <c r="B140" t="s">
        <v>2231</v>
      </c>
      <c r="C140" t="s">
        <v>2236</v>
      </c>
      <c r="D140" s="35">
        <v>4.2999999999999997E-2</v>
      </c>
      <c r="F140" t="s">
        <v>2069</v>
      </c>
    </row>
    <row r="141" spans="1:7">
      <c r="A141" t="s">
        <v>2220</v>
      </c>
      <c r="B141" t="s">
        <v>2231</v>
      </c>
      <c r="C141" t="s">
        <v>2237</v>
      </c>
      <c r="D141" s="35">
        <v>3.2000000000000001E-2</v>
      </c>
      <c r="F141" t="s">
        <v>2069</v>
      </c>
    </row>
    <row r="142" spans="1:7">
      <c r="A142" t="s">
        <v>2220</v>
      </c>
      <c r="B142" t="s">
        <v>2231</v>
      </c>
      <c r="C142" t="s">
        <v>2238</v>
      </c>
      <c r="D142" s="35">
        <v>4.9000000000000002E-2</v>
      </c>
      <c r="F142" t="s">
        <v>2069</v>
      </c>
    </row>
    <row r="143" spans="1:7">
      <c r="A143" t="s">
        <v>2220</v>
      </c>
      <c r="B143" t="s">
        <v>2231</v>
      </c>
      <c r="C143" t="s">
        <v>2239</v>
      </c>
      <c r="D143" s="35">
        <v>3.4000000000000002E-2</v>
      </c>
      <c r="F143" t="s">
        <v>2065</v>
      </c>
    </row>
    <row r="144" spans="1:7">
      <c r="A144" t="s">
        <v>2220</v>
      </c>
      <c r="B144" t="s">
        <v>2231</v>
      </c>
      <c r="C144" t="s">
        <v>2240</v>
      </c>
      <c r="D144" s="35">
        <v>1.8499999999999999E-2</v>
      </c>
      <c r="E144" s="35">
        <v>2.12E-2</v>
      </c>
      <c r="F144" t="s">
        <v>2124</v>
      </c>
      <c r="G144" s="9" t="s">
        <v>2047</v>
      </c>
    </row>
    <row r="145" spans="1:6">
      <c r="A145" t="s">
        <v>2220</v>
      </c>
      <c r="B145" t="s">
        <v>2241</v>
      </c>
      <c r="C145" t="s">
        <v>2242</v>
      </c>
      <c r="D145" s="35">
        <v>4.1000000000000002E-2</v>
      </c>
      <c r="F145" t="s">
        <v>2071</v>
      </c>
    </row>
    <row r="146" spans="1:6">
      <c r="A146" t="s">
        <v>2243</v>
      </c>
      <c r="B146" t="s">
        <v>2244</v>
      </c>
      <c r="C146" t="s">
        <v>2245</v>
      </c>
      <c r="D146" s="35">
        <v>1.4E-2</v>
      </c>
      <c r="F146" t="s">
        <v>2069</v>
      </c>
    </row>
    <row r="147" spans="1:6">
      <c r="A147" t="s">
        <v>2220</v>
      </c>
      <c r="B147" t="s">
        <v>2241</v>
      </c>
      <c r="C147" t="s">
        <v>2246</v>
      </c>
      <c r="D147" s="35">
        <v>0.01</v>
      </c>
      <c r="F147" t="s">
        <v>2069</v>
      </c>
    </row>
    <row r="148" spans="1:6">
      <c r="A148" t="s">
        <v>2220</v>
      </c>
      <c r="B148" t="s">
        <v>2241</v>
      </c>
      <c r="C148" t="s">
        <v>2247</v>
      </c>
      <c r="D148" s="35">
        <v>2.8000000000000001E-2</v>
      </c>
      <c r="F148" t="s">
        <v>2069</v>
      </c>
    </row>
  </sheetData>
  <sortState ref="A2:G84">
    <sortCondition ref="A2:A84"/>
    <sortCondition ref="B2:B84"/>
    <sortCondition ref="C2:C84"/>
  </sortState>
  <phoneticPr fontId="5" type="noConversion"/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因子定义_旧</vt:lpstr>
      <vt:lpstr>因子梳理</vt:lpstr>
      <vt:lpstr>分析师_zz800</vt:lpstr>
      <vt:lpstr>成长_broad</vt:lpstr>
      <vt:lpstr>成长_zz800</vt:lpstr>
      <vt:lpstr>价值因子_broad</vt:lpstr>
      <vt:lpstr>价值_zz800</vt:lpstr>
      <vt:lpstr>反转因子_broad</vt:lpstr>
      <vt:lpstr>反转因子_zz800</vt:lpstr>
      <vt:lpstr>质量因子_broad</vt:lpstr>
      <vt:lpstr>质量因子_zz800</vt:lpstr>
      <vt:lpstr>因子初步筛选汇总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2019-11-28T03:29:46Z</dcterms:modified>
</cp:coreProperties>
</file>